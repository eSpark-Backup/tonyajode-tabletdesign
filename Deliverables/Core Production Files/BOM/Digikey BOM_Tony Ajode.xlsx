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C:\Users\Waqar\Desktop\"/>
    </mc:Choice>
  </mc:AlternateContent>
  <xr:revisionPtr revIDLastSave="0" documentId="13_ncr:1_{AF4E5CFA-91C3-4042-8022-DA97F10885C6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Sheet 1" sheetId="1" r:id="rId1"/>
  </sheets>
  <definedNames>
    <definedName name="_xlnm.Print_Titles" localSheetId="0">'Sheet 1'!#REF!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3" i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P27" i="1" s="1"/>
  <c r="L28" i="1"/>
  <c r="P28" i="1" s="1"/>
  <c r="L29" i="1"/>
  <c r="P29" i="1" s="1"/>
  <c r="L30" i="1"/>
  <c r="P30" i="1" s="1"/>
  <c r="L31" i="1"/>
  <c r="P31" i="1" s="1"/>
  <c r="L32" i="1"/>
  <c r="P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P44" i="1" s="1"/>
  <c r="L45" i="1"/>
  <c r="P45" i="1" s="1"/>
  <c r="L46" i="1"/>
  <c r="P46" i="1" s="1"/>
  <c r="L47" i="1"/>
  <c r="P47" i="1" s="1"/>
  <c r="L48" i="1"/>
  <c r="P48" i="1" s="1"/>
  <c r="L49" i="1"/>
  <c r="P49" i="1" s="1"/>
  <c r="L50" i="1"/>
  <c r="P50" i="1" s="1"/>
  <c r="L51" i="1"/>
  <c r="P51" i="1" s="1"/>
  <c r="L52" i="1"/>
  <c r="P52" i="1" s="1"/>
  <c r="L53" i="1"/>
  <c r="P53" i="1" s="1"/>
  <c r="L54" i="1"/>
  <c r="P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L64" i="1"/>
  <c r="P64" i="1" s="1"/>
  <c r="L65" i="1"/>
  <c r="P65" i="1" s="1"/>
  <c r="L66" i="1"/>
  <c r="P66" i="1" s="1"/>
  <c r="L67" i="1"/>
  <c r="P67" i="1" s="1"/>
  <c r="L68" i="1"/>
  <c r="P68" i="1" s="1"/>
  <c r="L69" i="1"/>
  <c r="P69" i="1" s="1"/>
  <c r="L70" i="1"/>
  <c r="P70" i="1" s="1"/>
  <c r="L71" i="1"/>
  <c r="P71" i="1" s="1"/>
  <c r="L72" i="1"/>
  <c r="P72" i="1" s="1"/>
  <c r="L73" i="1"/>
  <c r="P73" i="1" s="1"/>
  <c r="L74" i="1"/>
  <c r="P74" i="1" s="1"/>
  <c r="L75" i="1"/>
  <c r="P75" i="1" s="1"/>
  <c r="L76" i="1"/>
  <c r="P76" i="1" s="1"/>
  <c r="L77" i="1"/>
  <c r="P77" i="1" s="1"/>
  <c r="L78" i="1"/>
  <c r="P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3" i="1"/>
  <c r="P3" i="1" s="1"/>
</calcChain>
</file>

<file path=xl/sharedStrings.xml><?xml version="1.0" encoding="utf-8"?>
<sst xmlns="http://schemas.openxmlformats.org/spreadsheetml/2006/main" count="748" uniqueCount="443">
  <si>
    <t>Description</t>
  </si>
  <si>
    <t>Designator</t>
  </si>
  <si>
    <t>Manufacturer</t>
  </si>
  <si>
    <t>Manufacturer Part Number</t>
  </si>
  <si>
    <t>CAP CER 4.7UF 25V X5R 0603</t>
  </si>
  <si>
    <t>Cap0603</t>
  </si>
  <si>
    <t>0.1uF</t>
  </si>
  <si>
    <t>1uF</t>
  </si>
  <si>
    <t>2.2uF</t>
  </si>
  <si>
    <t>CAP 0201</t>
  </si>
  <si>
    <t>D1, D2</t>
  </si>
  <si>
    <t>ESD9L5.0ST5G</t>
  </si>
  <si>
    <t>TVS DIODE 5V 9.8V SOD923</t>
  </si>
  <si>
    <t>SOD-923</t>
  </si>
  <si>
    <t>J3</t>
  </si>
  <si>
    <t>L1</t>
  </si>
  <si>
    <t>LED1</t>
  </si>
  <si>
    <t>LED 0402</t>
  </si>
  <si>
    <t>SOT-23</t>
  </si>
  <si>
    <t>100R</t>
  </si>
  <si>
    <t>Res0603</t>
  </si>
  <si>
    <t>10K</t>
  </si>
  <si>
    <t>Res-0201</t>
  </si>
  <si>
    <t>1K</t>
  </si>
  <si>
    <t>470R</t>
  </si>
  <si>
    <t>U1</t>
  </si>
  <si>
    <t>STMicroelectronics</t>
  </si>
  <si>
    <t>U3</t>
  </si>
  <si>
    <t>U4</t>
  </si>
  <si>
    <t>24-QFN (3x3)</t>
  </si>
  <si>
    <t>U5</t>
  </si>
  <si>
    <t>U9</t>
  </si>
  <si>
    <t>U10</t>
  </si>
  <si>
    <t>X1</t>
  </si>
  <si>
    <t>S. No.</t>
  </si>
  <si>
    <t>Components</t>
  </si>
  <si>
    <t>Footprint (Package)</t>
  </si>
  <si>
    <t>Alternate</t>
  </si>
  <si>
    <t>Value</t>
  </si>
  <si>
    <t>Quantity (Per Board)</t>
  </si>
  <si>
    <t>Remarks</t>
  </si>
  <si>
    <t>Capacitor</t>
  </si>
  <si>
    <t>Diode</t>
  </si>
  <si>
    <t>----------</t>
  </si>
  <si>
    <t>10uF</t>
  </si>
  <si>
    <t>---------</t>
  </si>
  <si>
    <t>--------</t>
  </si>
  <si>
    <t>C1, C7, C11, C12, C69, C72</t>
  </si>
  <si>
    <t>C1608X5R1E475M080AC</t>
  </si>
  <si>
    <t>CAP CER 1UF 25V X5R 0603</t>
  </si>
  <si>
    <t>C2, C16, C22, C29, C31, C33, C34, C43, C44, C45, C47</t>
  </si>
  <si>
    <t>CC0603KRX5R8BB105</t>
  </si>
  <si>
    <t>CAP CER 0.1UF 25V X6S 0201</t>
  </si>
  <si>
    <t>C3, C5, C8, C9, C10, C13, C14, C15, C18, C21, C36, C37, C40, C42, C46, C48, C49, C52, C56, C58, C60, C63, C64, C67, C71, C77, C78, C79, C80, C81, C82, C85, C88, C91</t>
  </si>
  <si>
    <t>GRM033C81E104KE14D</t>
  </si>
  <si>
    <t>CAP CER 10UF 35V X5R 0603</t>
  </si>
  <si>
    <t>C4, C6, C17, C27, C30, C32, C35, C53, C57, C59, C61, C62, C89</t>
  </si>
  <si>
    <t>GRM188R6YA106MA73D</t>
  </si>
  <si>
    <t>CAP 1.2pF 50V, 0603</t>
  </si>
  <si>
    <t>C19, C20</t>
  </si>
  <si>
    <t>CC0603BRNPO9BN1R2</t>
  </si>
  <si>
    <t>CAP TANT 100UF 10% 16V 2917</t>
  </si>
  <si>
    <t>C23, C24, C25, C26, C50</t>
  </si>
  <si>
    <t>593D107X9016D2TE3</t>
  </si>
  <si>
    <t>CAP CER 22UF 25V X5R 0805</t>
  </si>
  <si>
    <t>C28, C51</t>
  </si>
  <si>
    <t>Cap0805</t>
  </si>
  <si>
    <t>C2012X5R1E226M125AC</t>
  </si>
  <si>
    <t>CAP CER 100PF 50V C0G/NP0 0402</t>
  </si>
  <si>
    <t>C38, C39, C54</t>
  </si>
  <si>
    <t>Cap0402</t>
  </si>
  <si>
    <t>GCM1555C1H101JA16D</t>
  </si>
  <si>
    <t>CAP CER 10000PF 50V X7R 0402</t>
  </si>
  <si>
    <t>C41</t>
  </si>
  <si>
    <t>GRM155R71H103KA88J</t>
  </si>
  <si>
    <t>CAP 2.2UF 35V X5R 20% 0402</t>
  </si>
  <si>
    <t>C55</t>
  </si>
  <si>
    <t>GRM155R6YA225ME11D</t>
  </si>
  <si>
    <t>CAP CER 18PF 50V C0G/NP0 0201</t>
  </si>
  <si>
    <t>C65, C66</t>
  </si>
  <si>
    <t>GCM0335C1H180FA16D</t>
  </si>
  <si>
    <t>CAP CER 4.7PF 50V C0G/NPO 0603</t>
  </si>
  <si>
    <t>C68</t>
  </si>
  <si>
    <t>CC0603CRNPO9BN4R7</t>
  </si>
  <si>
    <t>CAP CER0.22uF 25V R 10%  0603</t>
  </si>
  <si>
    <t>C70, C73</t>
  </si>
  <si>
    <t>GRM188R11E224KA88D</t>
  </si>
  <si>
    <t>CAP CER 47UF 16V X5R 1206</t>
  </si>
  <si>
    <t>C84, C87</t>
  </si>
  <si>
    <t>Cap1206</t>
  </si>
  <si>
    <t>EMK316BBJ476ML-T</t>
  </si>
  <si>
    <t>CAP CER 22PF 50V C0G/NPO 0402</t>
  </si>
  <si>
    <t>C86</t>
  </si>
  <si>
    <t>CC0402JRNPO9BN220</t>
  </si>
  <si>
    <t>CAP TANT 22UF 10% 25V 2312</t>
  </si>
  <si>
    <t>C90</t>
  </si>
  <si>
    <t>T491C226K025AT</t>
  </si>
  <si>
    <t>Quantity 6</t>
  </si>
  <si>
    <t>4.7uF</t>
  </si>
  <si>
    <t>1.2pF</t>
  </si>
  <si>
    <t>100uF</t>
  </si>
  <si>
    <t>22UF</t>
  </si>
  <si>
    <t>100pF</t>
  </si>
  <si>
    <t>10nF</t>
  </si>
  <si>
    <t>18pF</t>
  </si>
  <si>
    <t>4.7pF</t>
  </si>
  <si>
    <t>220nF</t>
  </si>
  <si>
    <t>47uF</t>
  </si>
  <si>
    <t>22pF</t>
  </si>
  <si>
    <t>22uF</t>
  </si>
  <si>
    <t>DIODE GEN PURP 100V 300MA SOD123</t>
  </si>
  <si>
    <t>SOD-123</t>
  </si>
  <si>
    <t>1N4148W-7-F</t>
  </si>
  <si>
    <t>TVS DIODE 15V 34V SOD523</t>
  </si>
  <si>
    <t>D3</t>
  </si>
  <si>
    <t>SOD-523</t>
  </si>
  <si>
    <t>ESDA18-1K</t>
  </si>
  <si>
    <t>Typical RED GaAs LED</t>
  </si>
  <si>
    <t>D4</t>
  </si>
  <si>
    <t>LED-1</t>
  </si>
  <si>
    <t>Diode Schottky 30V 0.35A 2-Pin SOD-123 T/R</t>
  </si>
  <si>
    <t>D5</t>
  </si>
  <si>
    <t>SD103BW-7-F</t>
  </si>
  <si>
    <t>DIODE SCHOTTKY 40V 3A DO214AB</t>
  </si>
  <si>
    <t>D6, D12</t>
  </si>
  <si>
    <t>SMC</t>
  </si>
  <si>
    <t>SS34-E3/57T</t>
  </si>
  <si>
    <t>TVS DIODE 3V SOT23-6</t>
  </si>
  <si>
    <t>D7</t>
  </si>
  <si>
    <t>SOT-23-6</t>
  </si>
  <si>
    <t>ESDA6V1-5SC6</t>
  </si>
  <si>
    <t>D9, D10, D11</t>
  </si>
  <si>
    <t>FIXED IND 2.2NH 400MA 120 MOHM</t>
  </si>
  <si>
    <t>IND 0402</t>
  </si>
  <si>
    <t>BSCH001005052N2SCP</t>
  </si>
  <si>
    <t>1515 Inductors (SMD) ROHS</t>
  </si>
  <si>
    <t>L2, L4</t>
  </si>
  <si>
    <t>LQH44PN470MJ0L</t>
  </si>
  <si>
    <t>IND SMD 22uH 1.6A 20%, T&amp;R</t>
  </si>
  <si>
    <t>L3, L7</t>
  </si>
  <si>
    <t>NRS6045T220MMGK</t>
  </si>
  <si>
    <t>FIXED IND 1UH 2.5A 43.2 MOHM SMD</t>
  </si>
  <si>
    <t>L5</t>
  </si>
  <si>
    <t>LQH32PN1R0NNCL</t>
  </si>
  <si>
    <t>FIXED IND 2.2UH 3.25A 61 MOHM</t>
  </si>
  <si>
    <t>L6</t>
  </si>
  <si>
    <t>74437324022</t>
  </si>
  <si>
    <t>IND SMD 33 H 20% 500mA Idc</t>
  </si>
  <si>
    <t>L8</t>
  </si>
  <si>
    <t>CBC3225T330KR</t>
  </si>
  <si>
    <t>2.2nH</t>
  </si>
  <si>
    <t>47uH</t>
  </si>
  <si>
    <t>22uH</t>
  </si>
  <si>
    <t>1uH</t>
  </si>
  <si>
    <t>2.2uH</t>
  </si>
  <si>
    <t>33uH</t>
  </si>
  <si>
    <t xml:space="preserve">Inductor </t>
  </si>
  <si>
    <t>LED BLUE CLEAR CHIP SMD 0402</t>
  </si>
  <si>
    <t>LED4, LED5</t>
  </si>
  <si>
    <t>APHHS1005QBC/D</t>
  </si>
  <si>
    <t>MIC COND ANALOG OMNI -38DB 6MM D</t>
  </si>
  <si>
    <t>MK1</t>
  </si>
  <si>
    <t>POM-2738P-R</t>
  </si>
  <si>
    <t>LED</t>
  </si>
  <si>
    <t>TRANS NPN 40V 200MA SOT23-3</t>
  </si>
  <si>
    <t>Q1, Q2, Q4, Q5, Q7</t>
  </si>
  <si>
    <t>MMBT3904</t>
  </si>
  <si>
    <t>P-Channel -12V 4.1A 900mV @ 250uA 45mΩ @ 3.5A,4.5V 350mW SOT-23(SOT-23-3) MOSFET RoHS</t>
  </si>
  <si>
    <t>Q3, Q6</t>
  </si>
  <si>
    <t>CJ2305</t>
  </si>
  <si>
    <t>MOSFET 20V 2.0A 0.9W</t>
  </si>
  <si>
    <t>Q8</t>
  </si>
  <si>
    <t>SI2301BDS-T1-E3</t>
  </si>
  <si>
    <t xml:space="preserve">Mosfet </t>
  </si>
  <si>
    <t>RES SMD 680 OHM 5% 1/20W 0201</t>
  </si>
  <si>
    <t>R1, R3, R71</t>
  </si>
  <si>
    <t>RC0201JR-07680RL</t>
  </si>
  <si>
    <t>RES SMD 5.6K OHM 1% 1/20W 0201</t>
  </si>
  <si>
    <t>R2</t>
  </si>
  <si>
    <t>RC0201FR-075K6L</t>
  </si>
  <si>
    <t>RES SMD 100 OHM 1% 1/20W 0201</t>
  </si>
  <si>
    <t>R4, R5, R25, R26, R30, R32, R33, R35, R60, R83, R84</t>
  </si>
  <si>
    <t>AC0201FR-07100RL</t>
  </si>
  <si>
    <t>RES SMD 0 OHM JUMPER 1/20W 0201</t>
  </si>
  <si>
    <t>R6, R24, R81</t>
  </si>
  <si>
    <t>RC0201JR-070RL</t>
  </si>
  <si>
    <t>RES SMD 10K OHM 1% 1/20W 0201</t>
  </si>
  <si>
    <t>R7, R8, R9, R10, R15, R17, R20, R31, R34, R39, R69, R74, R89, R91, R93, R95, R97, R99, R101, R103, R131</t>
  </si>
  <si>
    <t>RC0201FR-0710KL</t>
  </si>
  <si>
    <t>RES SMD 47K OHM 5% 1/20W 0201</t>
  </si>
  <si>
    <t>R11, R16, R22, R70, R135</t>
  </si>
  <si>
    <t>RC0201JR-0747KL</t>
  </si>
  <si>
    <t>RES SMD 100K OHM 5% 1/20W 0201</t>
  </si>
  <si>
    <t>R12, R18, R68, R73, R128, R130, R133</t>
  </si>
  <si>
    <t>RC0201JR-07100KL</t>
  </si>
  <si>
    <t>RES 4.7K OHM 1% 1/20W 0201</t>
  </si>
  <si>
    <t>R13, R134</t>
  </si>
  <si>
    <t>RMCF0201FT4K70</t>
  </si>
  <si>
    <t>RES SMD 300 OHM 5% 1/20W 0201</t>
  </si>
  <si>
    <t>R14</t>
  </si>
  <si>
    <t>ERJ-1GNJ301C</t>
  </si>
  <si>
    <t>RES SMD 5.1K OHM 1% 1/20W 0201</t>
  </si>
  <si>
    <t>R19, R132</t>
  </si>
  <si>
    <t>AC0201FR-075K1L</t>
  </si>
  <si>
    <t>Res SMD 11.8K Ohm 1% 1/10W 0603</t>
  </si>
  <si>
    <t>R21</t>
  </si>
  <si>
    <t>AC0603FR-0711K8L</t>
  </si>
  <si>
    <t>RES SMD 470 OHM 5% 1/20W 0201</t>
  </si>
  <si>
    <t>R23, R82</t>
  </si>
  <si>
    <t>RC0201JR-07470RL</t>
  </si>
  <si>
    <t>RES SMD 33 OHM 1% 1/20W 0201</t>
  </si>
  <si>
    <t>R27</t>
  </si>
  <si>
    <t>AC0201FR-0733RL</t>
  </si>
  <si>
    <t>PANASONIC - ERJ3EKF7321V - RES, 7K32, 1%, 0.1W, 0603, THICK FILM</t>
  </si>
  <si>
    <t>R28</t>
  </si>
  <si>
    <t>ERJ3EKF7321V</t>
  </si>
  <si>
    <t>RES SMD 1K OHM 1% 1/20W 0201</t>
  </si>
  <si>
    <t>R29, R36, R37, R67</t>
  </si>
  <si>
    <t>RC0201FR-071KL</t>
  </si>
  <si>
    <t>RES SMD 2.2K OHM 5% 1/20W 0201</t>
  </si>
  <si>
    <t>R38, R40</t>
  </si>
  <si>
    <t>AC0201JR-072K2L</t>
  </si>
  <si>
    <t>R41</t>
  </si>
  <si>
    <t>RK73H1JTTD4R99F</t>
  </si>
  <si>
    <t>RES SMD 1M OHM 1% 1/20W 0201</t>
  </si>
  <si>
    <t>R42</t>
  </si>
  <si>
    <t>RC0201FR-071ML</t>
  </si>
  <si>
    <t>RES ARRAY 4 RES 47K OHM 0804</t>
  </si>
  <si>
    <t>R61</t>
  </si>
  <si>
    <t>CAY10-473J4LF</t>
  </si>
  <si>
    <t>RES SMD 6.8K OHM 1% 1/20W 0201</t>
  </si>
  <si>
    <t>R66</t>
  </si>
  <si>
    <t>AC0201FR-076K8L</t>
  </si>
  <si>
    <t>RES SMD 510K OHM 1% 1/20W 0201</t>
  </si>
  <si>
    <t>R72</t>
  </si>
  <si>
    <t>RC0201FR-07510KL</t>
  </si>
  <si>
    <t>RES SMD 20K OHM 1% 1/20W 0201</t>
  </si>
  <si>
    <t>R75</t>
  </si>
  <si>
    <t>RC0201FR-0720KL</t>
  </si>
  <si>
    <t>RES SMD 1.1M OHM 5% 1/20W 0201</t>
  </si>
  <si>
    <t>R76</t>
  </si>
  <si>
    <t>RC0201JR-071M1L</t>
  </si>
  <si>
    <t>TNPW0201 50R 0.5% T-9 ET7 E3</t>
  </si>
  <si>
    <t>R77, R78, R79, R80</t>
  </si>
  <si>
    <t>TNPW020150R0DEED</t>
  </si>
  <si>
    <t>RES 402K OHM 1% 1/20W 0201</t>
  </si>
  <si>
    <t>R126</t>
  </si>
  <si>
    <t>RMCF0201FT402K</t>
  </si>
  <si>
    <t>RES SMD 270K OHM 1% 1/20W 0201</t>
  </si>
  <si>
    <t>R127</t>
  </si>
  <si>
    <t>RC0201FR-07270KL</t>
  </si>
  <si>
    <t>RES SMD 536K OHM 1% 1/20W 0201</t>
  </si>
  <si>
    <t>R129</t>
  </si>
  <si>
    <t>RC0201FR-07536KL</t>
  </si>
  <si>
    <t>680R</t>
  </si>
  <si>
    <t>5.6K</t>
  </si>
  <si>
    <t>0R</t>
  </si>
  <si>
    <t>47K</t>
  </si>
  <si>
    <t>100K</t>
  </si>
  <si>
    <t>4.7K</t>
  </si>
  <si>
    <t>300R</t>
  </si>
  <si>
    <t>5.1K</t>
  </si>
  <si>
    <t>11K8</t>
  </si>
  <si>
    <t>33R</t>
  </si>
  <si>
    <t>7.32K</t>
  </si>
  <si>
    <t>2.2K</t>
  </si>
  <si>
    <t>4R99</t>
  </si>
  <si>
    <t>1M</t>
  </si>
  <si>
    <t>6.8K</t>
  </si>
  <si>
    <t>510K</t>
  </si>
  <si>
    <t>20K</t>
  </si>
  <si>
    <t>1.1M</t>
  </si>
  <si>
    <t>50R</t>
  </si>
  <si>
    <t>402K</t>
  </si>
  <si>
    <t>270K</t>
  </si>
  <si>
    <t>536K</t>
  </si>
  <si>
    <t>Single I2S/PCM Interface, Stereo, 2.3W Mono Amp, 45mW Headphone Amp</t>
  </si>
  <si>
    <t>32-QFN</t>
  </si>
  <si>
    <t>ALC5621</t>
  </si>
  <si>
    <t>IC REG LINEAR 1.8V 250MA SOT23-3</t>
  </si>
  <si>
    <t>U2, U11</t>
  </si>
  <si>
    <t>S-1206B18-M3T1U</t>
  </si>
  <si>
    <t>RF Components</t>
  </si>
  <si>
    <t>SIM7100AS2-10671</t>
  </si>
  <si>
    <t>S5P4418 Quad Core Android SoM System on Module</t>
  </si>
  <si>
    <t>S5P4418</t>
  </si>
  <si>
    <t>IMU ACCEL/GYRO/COMPI2C/SPI 24QFN</t>
  </si>
  <si>
    <t>ICM-20948</t>
  </si>
  <si>
    <t>SENSOR OPT 550NM AMBIENT 6SMD</t>
  </si>
  <si>
    <t>U6</t>
  </si>
  <si>
    <t>6-SMD</t>
  </si>
  <si>
    <t>VEML6030-GS15</t>
  </si>
  <si>
    <t>Realtek RTL8723BU Combo Module</t>
  </si>
  <si>
    <t>U7</t>
  </si>
  <si>
    <t>F23BUUM13-W2</t>
  </si>
  <si>
    <t>NXP - PCA9534BS3,118 - I/O EXPANDER, 8BIT, 400KHZ, HVQFN-16</t>
  </si>
  <si>
    <t>U8</t>
  </si>
  <si>
    <t>16HVQFN</t>
  </si>
  <si>
    <t>PCA9534BS3,118</t>
  </si>
  <si>
    <t>SOT-23-5 PMIC - Power Distribution Switches RoHS</t>
  </si>
  <si>
    <t>SOT23-5</t>
  </si>
  <si>
    <t>SY6280AAC</t>
  </si>
  <si>
    <t>USB 2.0 Hub Controller</t>
  </si>
  <si>
    <t>SSOP-28</t>
  </si>
  <si>
    <t>GL850G</t>
  </si>
  <si>
    <t>IC TRANSCEIVER FULL 2/2 20TSSOP</t>
  </si>
  <si>
    <t>U12</t>
  </si>
  <si>
    <t>20-TSSOP</t>
  </si>
  <si>
    <t>SP3222EEY-L/TR</t>
  </si>
  <si>
    <t/>
  </si>
  <si>
    <t>U13</t>
  </si>
  <si>
    <t>QFN-8</t>
  </si>
  <si>
    <t>ETA3451D2I-T</t>
  </si>
  <si>
    <t>IC REG BOOST ADJ 2.7A TSOT23-6</t>
  </si>
  <si>
    <t>U14</t>
  </si>
  <si>
    <t>TSOT-23-6</t>
  </si>
  <si>
    <t>MP3221GJ-Z</t>
  </si>
  <si>
    <t>IC REG SW QUAD TFT LCD 24-QFN</t>
  </si>
  <si>
    <t>U15</t>
  </si>
  <si>
    <t>LT1942EUF#PBF</t>
  </si>
  <si>
    <t>CRYSTAL 12.0000MHZ 18PF SMD</t>
  </si>
  <si>
    <t>8Z-12.000MAAJ-T</t>
  </si>
  <si>
    <t>SWITCH TACTILE SPST-NO 0.05A 32V</t>
  </si>
  <si>
    <t>SW1, SW2, SW3, SW4</t>
  </si>
  <si>
    <t>KMT021NGJLHS</t>
  </si>
  <si>
    <t>CONN HEADER R/A 2POS 2.5MM</t>
  </si>
  <si>
    <t>J1, J16, J17, J18, J19</t>
  </si>
  <si>
    <t>S2B-XH-A(LF)(SN)</t>
  </si>
  <si>
    <t>CONN JACK 4COND 3.5MM SMD R/A</t>
  </si>
  <si>
    <t>J2</t>
  </si>
  <si>
    <t>SJ-43515TS-SMT-TR</t>
  </si>
  <si>
    <t>CONN FFC TOP 24POS 0.50MM R/A</t>
  </si>
  <si>
    <t>0524352471</t>
  </si>
  <si>
    <t>CONN FFC 22POS 0.50MM SMD</t>
  </si>
  <si>
    <t>J4</t>
  </si>
  <si>
    <t>TF31-22S-0.5SH(800)</t>
  </si>
  <si>
    <t>CONN U.FL RCPT STR 50 OHM SMD</t>
  </si>
  <si>
    <t>J5, J22, J23</t>
  </si>
  <si>
    <t>U.FL-R-SMT-1(80)</t>
  </si>
  <si>
    <t>DC Power Receptacle Jack 2.5A 2.5mm 6.5mm SMD Power Connectors RoHS</t>
  </si>
  <si>
    <t>J6</t>
  </si>
  <si>
    <t>DC-005-5A-2.5-SMT</t>
  </si>
  <si>
    <t>CONN FFC BOTTOM 4POS 0.50MM R/A</t>
  </si>
  <si>
    <t>J7</t>
  </si>
  <si>
    <t>0527460471</t>
  </si>
  <si>
    <t>J8, J26</t>
  </si>
  <si>
    <t>SMD PAD</t>
  </si>
  <si>
    <t>CONN MICRO SD CARD PUSH-PULL R/A</t>
  </si>
  <si>
    <t>J9</t>
  </si>
  <si>
    <t>114-00841-68</t>
  </si>
  <si>
    <t>Conn FFC/FPC 50 POS 0.5mm  SMD T/R</t>
  </si>
  <si>
    <t>J10</t>
  </si>
  <si>
    <t>FH12A-50S-0.5SH(55)</t>
  </si>
  <si>
    <t>USB Connectors 4P RECEPTACLE TYPE A</t>
  </si>
  <si>
    <t>J12</t>
  </si>
  <si>
    <t>87583-2010BLF</t>
  </si>
  <si>
    <t>CONN SMART CARD PUSH-PULL</t>
  </si>
  <si>
    <t>J15</t>
  </si>
  <si>
    <t>693043020611</t>
  </si>
  <si>
    <t>USB - Micro B Female USB 2 5 SMD USB Connectors RoHS</t>
  </si>
  <si>
    <t>J21</t>
  </si>
  <si>
    <t>10118194-0001LF</t>
  </si>
  <si>
    <t>CONN D-SUB RCPT 9POS R/A SOLDER</t>
  </si>
  <si>
    <t>J25</t>
  </si>
  <si>
    <t>A-DF 09 A/KG-T4S</t>
  </si>
  <si>
    <t>Solder Bridge ON</t>
  </si>
  <si>
    <t>SB1, SB2, SB3, SB4, SB5, SB6, SB9, SB10, SB?</t>
  </si>
  <si>
    <t>Solder Bridge</t>
  </si>
  <si>
    <t>Test Point ON</t>
  </si>
  <si>
    <t>P1, P2</t>
  </si>
  <si>
    <t>TEST POINT</t>
  </si>
  <si>
    <t xml:space="preserve">TDK Corporation
</t>
  </si>
  <si>
    <t>Link</t>
  </si>
  <si>
    <t>Digikey</t>
  </si>
  <si>
    <t xml:space="preserve">Unit Price/Per Board </t>
  </si>
  <si>
    <t>Total Price/Per Board</t>
  </si>
  <si>
    <t>Unit Price/6 Boards</t>
  </si>
  <si>
    <t>Total Price/6 Board</t>
  </si>
  <si>
    <t xml:space="preserve">AVX Corporation
</t>
  </si>
  <si>
    <t>CC0603MRX5R8BB105</t>
  </si>
  <si>
    <t xml:space="preserve">Murata Electronics
</t>
  </si>
  <si>
    <t>-------------</t>
  </si>
  <si>
    <t>------------</t>
  </si>
  <si>
    <t>YAGEO</t>
  </si>
  <si>
    <t xml:space="preserve">Vishay Sprague
</t>
  </si>
  <si>
    <t xml:space="preserve">C0805X5R250-226MNE
</t>
  </si>
  <si>
    <t>Venkel</t>
  </si>
  <si>
    <t>-----------</t>
  </si>
  <si>
    <t>GMC31X5R476M16NT</t>
  </si>
  <si>
    <t xml:space="preserve">CAL-CHIP ELECTRONICS, INC.
</t>
  </si>
  <si>
    <t>KEMET</t>
  </si>
  <si>
    <t xml:space="preserve">Diodes Incorporated
</t>
  </si>
  <si>
    <t>-------</t>
  </si>
  <si>
    <t xml:space="preserve">Vishay General Semiconductor - Diodes Division
</t>
  </si>
  <si>
    <t>onsemi</t>
  </si>
  <si>
    <t xml:space="preserve">Chilisin Electronics
</t>
  </si>
  <si>
    <t xml:space="preserve">Taiyo Yuden
</t>
  </si>
  <si>
    <t xml:space="preserve">Würth Elektronik
</t>
  </si>
  <si>
    <t>Kingbright</t>
  </si>
  <si>
    <t xml:space="preserve">PUI Audio, Inc.
</t>
  </si>
  <si>
    <t xml:space="preserve">NTE Electronics, Inc
</t>
  </si>
  <si>
    <t>SOT-23-3</t>
  </si>
  <si>
    <t xml:space="preserve">Vishay Siliconix
</t>
  </si>
  <si>
    <t>Bill of Material (BOM) for Tony Ajode</t>
  </si>
  <si>
    <t>Stackpole Electronics Inc</t>
  </si>
  <si>
    <t>Panasonic</t>
  </si>
  <si>
    <t xml:space="preserve">Digikey </t>
  </si>
  <si>
    <t xml:space="preserve">Panasonic </t>
  </si>
  <si>
    <t>KOA Speer Electronics, Inc.</t>
  </si>
  <si>
    <t>RES 4.99 OHM 1% 1/8W 0603</t>
  </si>
  <si>
    <t>Bourns Inc.</t>
  </si>
  <si>
    <t>Custom</t>
  </si>
  <si>
    <t>Vishay Dale</t>
  </si>
  <si>
    <t xml:space="preserve">
Realtek Semicon</t>
  </si>
  <si>
    <t>------</t>
  </si>
  <si>
    <t>ABLIC U.S.A. Inc.</t>
  </si>
  <si>
    <t>TDK InvenSense</t>
  </si>
  <si>
    <t>Vishay Semiconductor Opto Division</t>
  </si>
  <si>
    <t>NXP USA Inc.</t>
  </si>
  <si>
    <t xml:space="preserve">
Silergy Corp</t>
  </si>
  <si>
    <t xml:space="preserve">
Genesys Logic</t>
  </si>
  <si>
    <t>MaxLinear, Inc.</t>
  </si>
  <si>
    <t>Monolithic Power Systems Inc.</t>
  </si>
  <si>
    <t>Analog Devices Inc.</t>
  </si>
  <si>
    <t>24-QFN</t>
  </si>
  <si>
    <t>TXC CORPORATION</t>
  </si>
  <si>
    <t>C&amp;K</t>
  </si>
  <si>
    <t>JST Sales America Inc.</t>
  </si>
  <si>
    <t>CUI Devices</t>
  </si>
  <si>
    <t>Molex</t>
  </si>
  <si>
    <t>Hirose Electric Co Ltd</t>
  </si>
  <si>
    <t xml:space="preserve">
XKB Connectivity</t>
  </si>
  <si>
    <t>Amphenol ICC (Commercial Products)</t>
  </si>
  <si>
    <t>Amphenol ICC (FCI)</t>
  </si>
  <si>
    <t>Würth Elektronik</t>
  </si>
  <si>
    <t>Assmann WSW Components</t>
  </si>
  <si>
    <t>Resistor</t>
  </si>
  <si>
    <t>Mic</t>
  </si>
  <si>
    <t>IC</t>
  </si>
  <si>
    <t>Crystal</t>
  </si>
  <si>
    <t>Switch</t>
  </si>
  <si>
    <t>Connector</t>
  </si>
  <si>
    <t xml:space="preserve">Do not 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</si>
</sst>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6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quotePrefix="1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quotePrefix="1" applyFont="1" applyBorder="1" applyAlignment="1">
      <alignment horizontal="center"/>
    </xf>
    <xf numFmtId="0" fontId="4" fillId="3" borderId="1" xfId="0" quotePrefix="1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1" xfId="0" quotePrefix="1" applyFont="1" applyBorder="1" applyAlignment="1">
      <alignment vertical="center" wrapText="1"/>
    </xf>
    <xf numFmtId="0" fontId="4" fillId="0" borderId="1" xfId="0" quotePrefix="1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7" fillId="0" borderId="6" xfId="1" quotePrefix="1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vertical="center" wrapText="1"/>
    </xf>
    <xf numFmtId="0" fontId="7" fillId="0" borderId="1" xfId="1" quotePrefix="1" applyFont="1" applyBorder="1" applyAlignment="1">
      <alignment horizontal="center" vertical="center" wrapText="1"/>
    </xf>
    <xf numFmtId="0" fontId="4" fillId="0" borderId="13" xfId="0" quotePrefix="1" applyFont="1" applyBorder="1" applyAlignment="1">
      <alignment vertical="center" wrapText="1"/>
    </xf>
    <xf numFmtId="0" fontId="4" fillId="0" borderId="9" xfId="0" quotePrefix="1" applyFont="1" applyBorder="1" applyAlignment="1">
      <alignment horizontal="center" vertical="center" wrapText="1"/>
    </xf>
    <xf numFmtId="0" fontId="7" fillId="0" borderId="9" xfId="1" quotePrefix="1" applyFont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1" quotePrefix="1" applyFont="1" applyBorder="1" applyAlignment="1">
      <alignment horizontal="center" vertical="center"/>
    </xf>
    <xf numFmtId="0" fontId="7" fillId="3" borderId="1" xfId="1" quotePrefix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vertical="center" wrapText="1"/>
    </xf>
    <xf numFmtId="165" fontId="8" fillId="0" borderId="6" xfId="0" applyNumberFormat="1" applyFont="1" applyBorder="1" applyAlignment="1">
      <alignment horizontal="center" vertical="center"/>
    </xf>
    <xf numFmtId="0" fontId="4" fillId="0" borderId="9" xfId="0" quotePrefix="1" applyFont="1" applyBorder="1" applyAlignment="1">
      <alignment vertical="center" wrapText="1"/>
    </xf>
    <xf numFmtId="165" fontId="8" fillId="0" borderId="9" xfId="0" applyNumberFormat="1" applyFont="1" applyBorder="1" applyAlignment="1">
      <alignment horizontal="center" vertical="center"/>
    </xf>
    <xf numFmtId="0" fontId="7" fillId="0" borderId="6" xfId="1" quotePrefix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quotePrefix="1" applyFont="1" applyFill="1" applyBorder="1" applyAlignment="1">
      <alignment horizontal="center"/>
    </xf>
    <xf numFmtId="0" fontId="7" fillId="0" borderId="9" xfId="1" quotePrefix="1" applyFont="1" applyBorder="1" applyAlignment="1">
      <alignment horizontal="center" vertical="center"/>
    </xf>
    <xf numFmtId="0" fontId="4" fillId="3" borderId="6" xfId="0" quotePrefix="1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3" borderId="9" xfId="0" quotePrefix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3" borderId="6" xfId="0" quotePrefix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4" fillId="3" borderId="9" xfId="0" quotePrefix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4" fillId="0" borderId="19" xfId="0" quotePrefix="1" applyFont="1" applyBorder="1" applyAlignment="1">
      <alignment vertical="center" wrapText="1"/>
    </xf>
    <xf numFmtId="0" fontId="4" fillId="0" borderId="19" xfId="0" quotePrefix="1" applyFont="1" applyBorder="1" applyAlignment="1">
      <alignment horizontal="center" vertical="center" wrapText="1"/>
    </xf>
    <xf numFmtId="0" fontId="4" fillId="0" borderId="19" xfId="0" quotePrefix="1" applyFont="1" applyBorder="1" applyAlignment="1">
      <alignment horizontal="center" vertical="center"/>
    </xf>
    <xf numFmtId="0" fontId="4" fillId="3" borderId="19" xfId="0" quotePrefix="1" applyFont="1" applyFill="1" applyBorder="1" applyAlignment="1">
      <alignment horizontal="center"/>
    </xf>
    <xf numFmtId="0" fontId="7" fillId="0" borderId="19" xfId="1" quotePrefix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165" fontId="8" fillId="0" borderId="19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 wrapText="1"/>
    </xf>
    <xf numFmtId="0" fontId="4" fillId="0" borderId="20" xfId="0" quotePrefix="1" applyFont="1" applyBorder="1" applyAlignment="1">
      <alignment vertical="center" wrapText="1"/>
    </xf>
    <xf numFmtId="0" fontId="4" fillId="0" borderId="21" xfId="0" quotePrefix="1" applyFont="1" applyBorder="1" applyAlignment="1">
      <alignment horizontal="center" vertical="center" wrapText="1"/>
    </xf>
    <xf numFmtId="0" fontId="4" fillId="0" borderId="21" xfId="0" quotePrefix="1" applyFont="1" applyBorder="1" applyAlignment="1">
      <alignment horizontal="center" vertical="center"/>
    </xf>
    <xf numFmtId="0" fontId="4" fillId="3" borderId="21" xfId="0" quotePrefix="1" applyFont="1" applyFill="1" applyBorder="1" applyAlignment="1">
      <alignment horizontal="center"/>
    </xf>
    <xf numFmtId="0" fontId="7" fillId="0" borderId="21" xfId="1" quotePrefix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/>
    </xf>
    <xf numFmtId="0" fontId="4" fillId="3" borderId="11" xfId="0" quotePrefix="1" applyFont="1" applyFill="1" applyBorder="1" applyAlignment="1">
      <alignment vertical="center" wrapText="1"/>
    </xf>
    <xf numFmtId="0" fontId="4" fillId="3" borderId="12" xfId="0" quotePrefix="1" applyFont="1" applyFill="1" applyBorder="1" applyAlignment="1">
      <alignment vertical="center" wrapText="1"/>
    </xf>
    <xf numFmtId="0" fontId="4" fillId="3" borderId="13" xfId="0" quotePrefix="1" applyFont="1" applyFill="1" applyBorder="1" applyAlignment="1">
      <alignment vertical="center" wrapText="1"/>
    </xf>
    <xf numFmtId="0" fontId="4" fillId="0" borderId="18" xfId="0" quotePrefix="1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3" borderId="6" xfId="0" quotePrefix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7" fillId="0" borderId="9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3" borderId="19" xfId="0" quotePrefix="1" applyFont="1" applyFill="1" applyBorder="1" applyAlignment="1">
      <alignment horizontal="center" vertical="center"/>
    </xf>
    <xf numFmtId="0" fontId="7" fillId="0" borderId="19" xfId="1" applyFont="1" applyBorder="1" applyAlignment="1">
      <alignment horizontal="center"/>
    </xf>
    <xf numFmtId="0" fontId="4" fillId="4" borderId="19" xfId="0" applyFont="1" applyFill="1" applyBorder="1" applyAlignment="1">
      <alignment horizontal="center" vertical="center" wrapText="1"/>
    </xf>
    <xf numFmtId="0" fontId="4" fillId="0" borderId="21" xfId="0" quotePrefix="1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4" fillId="3" borderId="21" xfId="0" quotePrefix="1" applyFont="1" applyFill="1" applyBorder="1" applyAlignment="1">
      <alignment horizontal="center" vertical="center"/>
    </xf>
    <xf numFmtId="0" fontId="7" fillId="0" borderId="21" xfId="1" applyFont="1" applyBorder="1" applyAlignment="1">
      <alignment horizontal="center"/>
    </xf>
    <xf numFmtId="0" fontId="4" fillId="4" borderId="21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w%C3%BCrth-elektronik/74437324022/2791045?s=N4IgTCBcDaIOwBYEGY7LAgDGCBdAvkA" TargetMode="External"/><Relationship Id="rId21" Type="http://schemas.openxmlformats.org/officeDocument/2006/relationships/hyperlink" Target="https://www.digikey.com/en/products/detail/onsemi/ESD9L5-0ST5G/1693175" TargetMode="External"/><Relationship Id="rId42" Type="http://schemas.openxmlformats.org/officeDocument/2006/relationships/hyperlink" Target="https://www.digikey.com/en/products/detail/yageo/AC0603FR-0711K8L/5895754?s=N4IgTCBcDaIIIGEAMA2JBmAYgJQLRIHYBGIgaQA4AZEAXQF8g" TargetMode="External"/><Relationship Id="rId47" Type="http://schemas.openxmlformats.org/officeDocument/2006/relationships/hyperlink" Target="https://www.digikey.com/en/products/detail/yageo/AC0201JR-072K2L/5894936?s=N4IgTCBcDaIIIGEAMYkEYBSAlAtEg7GANJgAyIAugL5A" TargetMode="External"/><Relationship Id="rId63" Type="http://schemas.openxmlformats.org/officeDocument/2006/relationships/hyperlink" Target="https://www.digikey.com/en/products/detail/maxlinear-inc/SP3222EEY-L-TR/2471743?s=N4IgTCBcDaIMoAUDMZUFE0E0C0AZA9ACoBKIAugL5A" TargetMode="External"/><Relationship Id="rId68" Type="http://schemas.openxmlformats.org/officeDocument/2006/relationships/hyperlink" Target="https://www.digikey.com/en/products/detail/jst-sales-america-inc/S2B-XH-A-LF-SN/1651055?s=N4IgTCBcDaIMpgEIFoAaAJZBBAFAGQDEBKHOAOSJAF0BfIA" TargetMode="External"/><Relationship Id="rId16" Type="http://schemas.openxmlformats.org/officeDocument/2006/relationships/hyperlink" Target="https://www.digikey.com/en/products/detail/diodes-incorporated/1N4148W-7-F/814371?s=N4IgTCBcDaIIwDkAsckA4DqBaA7FgYiALoC%2BQA" TargetMode="External"/><Relationship Id="rId11" Type="http://schemas.openxmlformats.org/officeDocument/2006/relationships/hyperlink" Target="https://www.digikey.com/en/products/detail/murata-electronics/GCM0335C1H180FA16D/11618782?s=N4IgTCBcDaIOIGECyAGAzGgrAgjACRwA4UAxAQRwDYAREAXQF8g" TargetMode="External"/><Relationship Id="rId24" Type="http://schemas.openxmlformats.org/officeDocument/2006/relationships/hyperlink" Target="https://www.digikey.com/en/products/detail/taiyo-yuden/NRS6045T220MMGK/2665990" TargetMode="External"/><Relationship Id="rId32" Type="http://schemas.openxmlformats.org/officeDocument/2006/relationships/hyperlink" Target="https://www.digikey.com/en/products/detail/yageo/RC0201JR-07680RL/1948962?s=N4IgTCBcDaIEoGEAMYkEYBScC0SDsAbABxJwAyIAugL5A" TargetMode="External"/><Relationship Id="rId37" Type="http://schemas.openxmlformats.org/officeDocument/2006/relationships/hyperlink" Target="https://www.digikey.com/en/products/detail/yageo/RC0201JR-0747KL/1948954?s=N4IgTCBcDaIEoGEAMYkEYBScC0SDsALHgNIAyIAugL5A" TargetMode="External"/><Relationship Id="rId40" Type="http://schemas.openxmlformats.org/officeDocument/2006/relationships/hyperlink" Target="https://www.digikey.com/en/products/detail/panasonic-electronic-components/ERJ-1GNJ301C/2035774?s=N4IgTCBcDaIKICUBSBaAjAcQHJIMwAY0BhEAXQF8g" TargetMode="External"/><Relationship Id="rId45" Type="http://schemas.openxmlformats.org/officeDocument/2006/relationships/hyperlink" Target="https://www.digikey.com/en/products/detail/panasonic-electronic-components/ERJ-3EKF7321V/196457?s=N4IgTCBcDaIKICUBSBmOBpAYgdhWAjAGogC6AvkA" TargetMode="External"/><Relationship Id="rId53" Type="http://schemas.openxmlformats.org/officeDocument/2006/relationships/hyperlink" Target="https://www.digikey.com/en/products/detail/yageo/RC0201FR-0720KL/3202392?s=N4IgTCBcDaIEoGEAMYkEYBicC0SDsqA0gDIgC6AvkA" TargetMode="External"/><Relationship Id="rId58" Type="http://schemas.openxmlformats.org/officeDocument/2006/relationships/hyperlink" Target="https://www.digikey.com/en/products/detail/yageo/RC0201FR-07536KL/5280580?s=N4IgTCBcDaIEoGEAMYkEYBicC0SDsArAMwBsA0gDIgC6AvkA" TargetMode="External"/><Relationship Id="rId66" Type="http://schemas.openxmlformats.org/officeDocument/2006/relationships/hyperlink" Target="https://www.digikey.com/en/products/detail/txc-corporation/8Z-12-000MAAJ-T/2627003?s=N4IgTCBcDaIBwC0C0BGMA6ADNgsgQTwCkkAVEAXQF8g" TargetMode="External"/><Relationship Id="rId74" Type="http://schemas.openxmlformats.org/officeDocument/2006/relationships/hyperlink" Target="https://www.digikey.com/en/products/detail/amphenol-icc-commercial-products/114-00841-68/2187086?s=N4IgTCBcDaIIxwCwFoAMqAci7IGwZAF0BfIA" TargetMode="External"/><Relationship Id="rId79" Type="http://schemas.openxmlformats.org/officeDocument/2006/relationships/hyperlink" Target="https://www.digikey.com/en/products/detail/assmann-wsw-components/A-DF-09-A-KG-T4S/1241802?s=N4IgTCBcDaIIIFoAiAxABABgJxrgegGkBxBAFQBYBlEAXQF8g" TargetMode="External"/><Relationship Id="rId5" Type="http://schemas.openxmlformats.org/officeDocument/2006/relationships/hyperlink" Target="https://www.digikey.com/en/products/detail/yageo/CC0603BRNPO9BN1R2/5883418?s=N4IgTCBcDaIMJwAwDZEGYBCAlAcgBQHkBODHARiwgF0BfIA" TargetMode="External"/><Relationship Id="rId61" Type="http://schemas.openxmlformats.org/officeDocument/2006/relationships/hyperlink" Target="https://www.digikey.com/en/products/detail/vishay-semiconductor-opto-division/VEML6030-GS15/6221149?s=N4IgTCBcDaIGoFECyAZAbABgMwYLQHEBlARgFYQBdAXyA" TargetMode="External"/><Relationship Id="rId19" Type="http://schemas.openxmlformats.org/officeDocument/2006/relationships/hyperlink" Target="https://www.digikey.com/en/products/detail/vishay-general-semiconductor-diodes-division/SS34-E3-57T/1091554?s=N4IgTCBcDaIMpwMwBYC0BRRB6ArAdgBUQBdAXyA" TargetMode="External"/><Relationship Id="rId14" Type="http://schemas.openxmlformats.org/officeDocument/2006/relationships/hyperlink" Target="https://www.digikey.com/en/products/detail/yageo/CC0402JRNPO9BN220/302752?s=N4IgTCBcDaIMJwAwBZFgFICUByAFA8gJwBC2YYiIAugL5A" TargetMode="External"/><Relationship Id="rId22" Type="http://schemas.openxmlformats.org/officeDocument/2006/relationships/hyperlink" Target="https://www.digikey.com/en/products/detail/chilisin-electronics/BSCH001005052N2SCP/10508713?s=N4IgTCBcDaIEIGUDCAJADGgjBgrGnYAcmMgAogC6AvkA" TargetMode="External"/><Relationship Id="rId27" Type="http://schemas.openxmlformats.org/officeDocument/2006/relationships/hyperlink" Target="https://www.digikey.com/en/products/detail/taiyo-yuden/CBC3225T330KR/2763320" TargetMode="External"/><Relationship Id="rId30" Type="http://schemas.openxmlformats.org/officeDocument/2006/relationships/hyperlink" Target="https://www.digikey.com/en/products/detail/nte-electronics-inc/MMBT3904/11649623" TargetMode="External"/><Relationship Id="rId35" Type="http://schemas.openxmlformats.org/officeDocument/2006/relationships/hyperlink" Target="https://www.digikey.com/en/products/detail/yageo/RC0201JR-070RL/1948898?s=N4IgTCBcDaIEoGEAMYkEYBScC0SDsScAMiALoC%2BQA" TargetMode="External"/><Relationship Id="rId43" Type="http://schemas.openxmlformats.org/officeDocument/2006/relationships/hyperlink" Target="https://www.digikey.com/en/products/detail/yageo/RC0201JR-07470RL/1948953?s=N4IgTCBcDaIEoGEAMYkEYBScC0SDsALHknADIgC6AvkA" TargetMode="External"/><Relationship Id="rId48" Type="http://schemas.openxmlformats.org/officeDocument/2006/relationships/hyperlink" Target="https://www.digikey.com/en/products/detail/koa-speer-electronics-inc/RK73H1JTTD4R99F/9845103?s=N4IgTCBcDaIEoGkDsBmAEgRgFIBUcBEAWOAThIDEQBdAXyA" TargetMode="External"/><Relationship Id="rId56" Type="http://schemas.openxmlformats.org/officeDocument/2006/relationships/hyperlink" Target="https://www.digikey.com/en/products/detail/stackpole-electronics-inc/RMCF0201FT402K/5965988?s=N4IgTCBcDaIEoFkDCAxADGNBGFAVALBgNIgC6AvkA" TargetMode="External"/><Relationship Id="rId64" Type="http://schemas.openxmlformats.org/officeDocument/2006/relationships/hyperlink" Target="https://www.digikey.com/en/products/detail/monolithic-power-systems-inc/MP3221GJ-Z/9554692?s=N4IgTCBcDaILIAUDMYwEYDiApAtALRAF0BfIA" TargetMode="External"/><Relationship Id="rId69" Type="http://schemas.openxmlformats.org/officeDocument/2006/relationships/hyperlink" Target="https://www.digikey.com/en/products/detail/cui-devices/SJ-43515TS-SMT-TR/669723?s=N4IgTCBcDaIMoCkC0AWAzAVgIwYCpyTgFlclcAlEAXQF8g" TargetMode="External"/><Relationship Id="rId77" Type="http://schemas.openxmlformats.org/officeDocument/2006/relationships/hyperlink" Target="https://www.digikey.com/en/products/detail/w%C3%BCrth-elektronik/693043020611/5047817?s=N4IgTCBcDaIGwE4DMAGALKsK4EYcgF0BfIA" TargetMode="External"/><Relationship Id="rId8" Type="http://schemas.openxmlformats.org/officeDocument/2006/relationships/hyperlink" Target="https://www.digikey.com/en/products/detail/murata-electronics/GCM1555C1H101JA16D/4903548?s=N4IgTCBcDaIOIGECyBGArBhKASKAMKAUgIIoBsAIiALoC%2BQA" TargetMode="External"/><Relationship Id="rId51" Type="http://schemas.openxmlformats.org/officeDocument/2006/relationships/hyperlink" Target="https://www.digikey.com/en/products/detail/yageo/AC0201FR-076K8L/5894794?s=N4IgTCBcDaIIIGEAMYkEYBiAlAtEg7AGwDSAHADIgC6AvkA" TargetMode="External"/><Relationship Id="rId72" Type="http://schemas.openxmlformats.org/officeDocument/2006/relationships/hyperlink" Target="https://www.digikey.com/en/products/detail/hirose-electric-co-ltd/U-FL-R-SMT-1-80/3978495?s=N4IgTCBcDaIKoDoBiAZAtAJTQZQLIBU0BGACgA4AGAShAF0BfIA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om/en/products/detail/murata-electronics/GRM033C81E104KE14D/5027488?s=N4IgTCBcDaIOICUCyAGAzGgwgDgIwFFcUAWAaUOIBEQBdAXyA" TargetMode="External"/><Relationship Id="rId12" Type="http://schemas.openxmlformats.org/officeDocument/2006/relationships/hyperlink" Target="https://www.digikey.com/en/products/detail/yageo/CC0603CRNPO9BN4R7/5195149?s=N4IgTCBcDaIMJwAwDZEGY4CUByAFA8gJwBC2ALJgOwgC6AvkA" TargetMode="External"/><Relationship Id="rId17" Type="http://schemas.openxmlformats.org/officeDocument/2006/relationships/hyperlink" Target="https://www.digikey.com/en/products/detail/stmicroelectronics/ESDA18-1K/2440267?s=N4IgTCBcDaIKIGUAiBBAjADgLRoNIgF0BfIA" TargetMode="External"/><Relationship Id="rId25" Type="http://schemas.openxmlformats.org/officeDocument/2006/relationships/hyperlink" Target="https://www.digikey.com/en/products/detail/murata-electronics/LQH32PN1R0NNCL/4359457?s=N4IgTCBcDaIDIEUASBmMAFAcgRgEoAZNMBhOEAXQF8g" TargetMode="External"/><Relationship Id="rId33" Type="http://schemas.openxmlformats.org/officeDocument/2006/relationships/hyperlink" Target="https://www.digikey.com/en/products/detail/yageo/RC0201FR-075K6L/3202417?s=N4IgTCBcDaIEoGEAMYkEYBicC0SDsArANIBsAMiALoC%2BQA" TargetMode="External"/><Relationship Id="rId38" Type="http://schemas.openxmlformats.org/officeDocument/2006/relationships/hyperlink" Target="https://www.digikey.com/en/products/detail/yageo/RC0201JR-07100KL/1948899?s=N4IgTCBcDaIEoGEAMYkEYBScC0SDsaSSA0gDIgC6AvkA" TargetMode="External"/><Relationship Id="rId46" Type="http://schemas.openxmlformats.org/officeDocument/2006/relationships/hyperlink" Target="https://www.digikey.com/en/products/detail/yageo/RC0201FR-071KL/3202389?s=N4IgTCBcDaIEoGEAMYkEYBicC0SDsaA0gDIgC6AvkA" TargetMode="External"/><Relationship Id="rId59" Type="http://schemas.openxmlformats.org/officeDocument/2006/relationships/hyperlink" Target="https://www.digikey.com/en/products/detail/ablic-u-s-a-inc/S-1206B18-M3T1U/6114629?s=N4IgTCBcDaIMoFoCMYAMA2AQkgHAgsgMwAqSAqiALoC%2BQA" TargetMode="External"/><Relationship Id="rId67" Type="http://schemas.openxmlformats.org/officeDocument/2006/relationships/hyperlink" Target="https://www.digikey.com/en/products/detail/c-k/KMT021-NGJ-LHS/2297276?s=N4IgTCBcDaINIFkAqAGMBGAcgcQFIBkAJAZRAF0BfIA" TargetMode="External"/><Relationship Id="rId20" Type="http://schemas.openxmlformats.org/officeDocument/2006/relationships/hyperlink" Target="https://www.digikey.com/en/products/detail/stmicroelectronics/ESDA6V1-5SC6/1037983" TargetMode="External"/><Relationship Id="rId41" Type="http://schemas.openxmlformats.org/officeDocument/2006/relationships/hyperlink" Target="https://www.digikey.com/en/products/detail/yageo/AC0201FR-075K1L/5894738?s=N4IgTCBcDaIIIGEAMYkEYBiAlAtEg7AKwDSaAMiALoC%2BQA" TargetMode="External"/><Relationship Id="rId54" Type="http://schemas.openxmlformats.org/officeDocument/2006/relationships/hyperlink" Target="https://www.digikey.com/en/products/detail/yageo/RC0201JR-071M1L/5280728?s=N4IgTCBcDaIEoGEAMYkEYBScC0SDsaAsmgDIgC6AvkA" TargetMode="External"/><Relationship Id="rId62" Type="http://schemas.openxmlformats.org/officeDocument/2006/relationships/hyperlink" Target="https://www.digikey.com/en/products/detail/nxp-usa-inc/PCA9534BS3-118/1692868?s=N4IgTCBcDaIAoGECCBOArAZgCwCEDKGANAIzEAcIAugL5A" TargetMode="External"/><Relationship Id="rId70" Type="http://schemas.openxmlformats.org/officeDocument/2006/relationships/hyperlink" Target="https://www.digikey.com/en/products/detail/molex/0524352471/2074146?s=N4IgTCBcDaIAwFYwBYDMTkHYCMIC6AvkA" TargetMode="External"/><Relationship Id="rId75" Type="http://schemas.openxmlformats.org/officeDocument/2006/relationships/hyperlink" Target="https://www.digikey.com/en/products/detail/hirose-electric-co-ltd/FH12A-50S-0-5SH-55/1110339?s=N4IgTCBcDaIGIAkCMYCCBaArABgMruwDpNcEAKTTAShAF0BfIA" TargetMode="External"/><Relationship Id="rId1" Type="http://schemas.openxmlformats.org/officeDocument/2006/relationships/hyperlink" Target="https://www.digikey.com/en/products/detail/tdk-corporation/C1608X5R1E475M080AC/3648583?s=N4IgTCBcDaIMIEYBsAGAHADQKwCUEFEAWAdiwFl0UBBOEAXQF8g" TargetMode="External"/><Relationship Id="rId6" Type="http://schemas.openxmlformats.org/officeDocument/2006/relationships/hyperlink" Target="https://www.digikey.com/en/products/detail/vishay-sprague/593D107X9016D2TE3/1559454?s=N4IgTCBcDaIKwE4DMARAjABgOwA0EbQDYUwAVAUSRAF0BfIA" TargetMode="External"/><Relationship Id="rId15" Type="http://schemas.openxmlformats.org/officeDocument/2006/relationships/hyperlink" Target="https://www.digikey.com/en/products/detail/kemet/T491C226K025AT/818606" TargetMode="External"/><Relationship Id="rId23" Type="http://schemas.openxmlformats.org/officeDocument/2006/relationships/hyperlink" Target="https://www.digikey.com/en/products/detail/murata-electronics/LQH44PN470MJ0L/4359245?s=N4IgTCBcDaIDIEUASAWFAFAcig7ABgFkApPOEAXQF8g" TargetMode="External"/><Relationship Id="rId28" Type="http://schemas.openxmlformats.org/officeDocument/2006/relationships/hyperlink" Target="https://www.digikey.com/en/products/detail/kingbright/APHHS1005QBC-D/2263568?s=N4IgTCBcDaIIIAUASSDKBGADJgrARQCEBhAegBEQBdAXyA" TargetMode="External"/><Relationship Id="rId36" Type="http://schemas.openxmlformats.org/officeDocument/2006/relationships/hyperlink" Target="https://www.digikey.com/en/products/detail/yageo/RC0201FR-0710KL/1948870?s=N4IgTCBcDaIEoGEAMYkEYBicC0SDsaSA0gDIgC6AvkA" TargetMode="External"/><Relationship Id="rId49" Type="http://schemas.openxmlformats.org/officeDocument/2006/relationships/hyperlink" Target="https://www.digikey.com/en/products/detail/yageo/RC0201FR-071ML/3202390?s=N4IgTCBcDaIEoGEAMYkEYBicC0SDsaAsgDIgC6AvkA" TargetMode="External"/><Relationship Id="rId57" Type="http://schemas.openxmlformats.org/officeDocument/2006/relationships/hyperlink" Target="https://www.digikey.com/en/products/detail/yageo/RC0201FR-07270KL/5280408?s=N4IgTCBcDaIEoGEAMYkEYBicC0SDsYeSA0gDIgC6AvkA" TargetMode="External"/><Relationship Id="rId10" Type="http://schemas.openxmlformats.org/officeDocument/2006/relationships/hyperlink" Target="https://www.digikey.com/en/products/detail/murata-electronics/GRM155R6YA225ME11D/9867921?s=N4IgTCBcDaIOICUCyBGArGhA2AmgQTDDSQFEUUAREAXQF8g" TargetMode="External"/><Relationship Id="rId31" Type="http://schemas.openxmlformats.org/officeDocument/2006/relationships/hyperlink" Target="https://www.digikey.com/en/products/detail/vishay-siliconix/SI2301BDS-T1-E3/1656335?s=N4IgTCBcDaIMoEkwGYAMBGAQgETgWgBV08BRZEAXQF8g" TargetMode="External"/><Relationship Id="rId44" Type="http://schemas.openxmlformats.org/officeDocument/2006/relationships/hyperlink" Target="https://www.digikey.com/en/products/detail/yageo/AC0201FR-0733RL/5894558?s=N4IgTCBcDaIIIGEAMYkEYBiAlAtEg7AMyFYAyIAugL5A" TargetMode="External"/><Relationship Id="rId52" Type="http://schemas.openxmlformats.org/officeDocument/2006/relationships/hyperlink" Target="https://www.digikey.com/en/products/detail/yageo/RC0201FR-07510KL/5280573?s=N4IgTCBcDaIEoGEAMYkEYBicC0SDsArGkgNIAyIAugL5A" TargetMode="External"/><Relationship Id="rId60" Type="http://schemas.openxmlformats.org/officeDocument/2006/relationships/hyperlink" Target="https://www.digikey.com/en/products/detail/tdk-invensense/ICM-20948/6623535" TargetMode="External"/><Relationship Id="rId65" Type="http://schemas.openxmlformats.org/officeDocument/2006/relationships/hyperlink" Target="https://www.digikey.com/en/products/detail/analog-devices-inc/LT1942EUF-PBF/963074?s=N4IgTCBcDaIDIBUCMBOALGAogVQGIGIAFAIVxAF0BfIA" TargetMode="External"/><Relationship Id="rId73" Type="http://schemas.openxmlformats.org/officeDocument/2006/relationships/hyperlink" Target="https://www.digikey.com/en/products/detail/molex/0527460471/3044842?s=N4IgTCBcDaIAwFYwHYAsA2OrkEYQF0BfIA" TargetMode="External"/><Relationship Id="rId78" Type="http://schemas.openxmlformats.org/officeDocument/2006/relationships/hyperlink" Target="https://www.digikey.com/en/products/detail/amphenol-icc-fci/10118194-0001LF/2785389?s=N4IgTCBcDaIIwAY5wBxwJwBYC0C9wBkAxEAXQF8g" TargetMode="External"/><Relationship Id="rId4" Type="http://schemas.openxmlformats.org/officeDocument/2006/relationships/hyperlink" Target="https://www.digikey.com/en/products/detail/murata-electronics/GRM188R6YA106MA73J/8346265" TargetMode="External"/><Relationship Id="rId9" Type="http://schemas.openxmlformats.org/officeDocument/2006/relationships/hyperlink" Target="https://www.digikey.com/en/products/detail/murata-electronics/GRM155R71H103KA88J/2610922?s=N4IgTCBcDaIOICUCyBGArGhB2FAJFADAMwDSAggBwUBSIAugL5A" TargetMode="External"/><Relationship Id="rId13" Type="http://schemas.openxmlformats.org/officeDocument/2006/relationships/hyperlink" Target="https://www.digikey.com/en/products/detail/cal-chip-electronics-inc/GMC31X5R476M16NT/12698052" TargetMode="External"/><Relationship Id="rId18" Type="http://schemas.openxmlformats.org/officeDocument/2006/relationships/hyperlink" Target="https://www.digikey.com/en/products/detail/diodes-incorporated/SD103BW-7-F/1935417" TargetMode="External"/><Relationship Id="rId39" Type="http://schemas.openxmlformats.org/officeDocument/2006/relationships/hyperlink" Target="https://www.digikey.com/en/products/detail/stackpole-electronics-inc/RMCF0201FT4K70/1715026?s=N4IgTCBcDaIEoFkDCAxADGNBGFAVALANIDsaIAugL5A" TargetMode="External"/><Relationship Id="rId34" Type="http://schemas.openxmlformats.org/officeDocument/2006/relationships/hyperlink" Target="https://www.digikey.com/en/products/detail/yageo/AC0201FR-07100RL/5894218?s=N4IgTCBcDaIIIGEAMYkEYBiAlAtEg7GkklgDIgC6AvkA" TargetMode="External"/><Relationship Id="rId50" Type="http://schemas.openxmlformats.org/officeDocument/2006/relationships/hyperlink" Target="https://www.digikey.com/en/products/detail/bourns-inc/CAY10-473J4LF/3593231?s=N4IgTCBcDaIMIEECaBGADAWgCwHYDMAUlgDIBiIAugL5A" TargetMode="External"/><Relationship Id="rId55" Type="http://schemas.openxmlformats.org/officeDocument/2006/relationships/hyperlink" Target="https://www.digikey.com/en/products/detail/vishay-dale/TNPW020150R0DEED/13420998?s=N4IgTCBcDaICoDkAKB1ADGNBGArGgSmgCICiJRIAugL5A" TargetMode="External"/><Relationship Id="rId76" Type="http://schemas.openxmlformats.org/officeDocument/2006/relationships/hyperlink" Target="https://www.digikey.com/en/products/detail/amphenol-icc-fci/87583-2010BLF/2665595?s=N4IgTCBcDaIBwHYCscDMBaMAGAjFgQgDIBiIAugL5A" TargetMode="External"/><Relationship Id="rId7" Type="http://schemas.openxmlformats.org/officeDocument/2006/relationships/hyperlink" Target="https://www.digikey.com/en/products/detail/venkel/C0805X5R250-226MNE/12333402" TargetMode="External"/><Relationship Id="rId71" Type="http://schemas.openxmlformats.org/officeDocument/2006/relationships/hyperlink" Target="https://www.digikey.com/en/products/detail/hirose-electric-co-ltd/TF31-22S-0-5SH-800/11204757?s=N4IgTCBcDaICoDEDMBGAtGMBlNAGAdAKxYASAFABy64CUIAugL5A" TargetMode="External"/><Relationship Id="rId2" Type="http://schemas.openxmlformats.org/officeDocument/2006/relationships/hyperlink" Target="https://www.digikey.com/en/products/detail/yageo/CC0603MRX5R8BB105/5195230" TargetMode="External"/><Relationship Id="rId29" Type="http://schemas.openxmlformats.org/officeDocument/2006/relationships/hyperlink" Target="https://www.digikey.com/en/products/detail/pui-audio-inc/POM-2738P-R/1464897?s=N4IgTCBcDaIAoHkCyBaMB2AzADjigSiALoC%2B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zoomScale="85" zoomScaleNormal="85" workbookViewId="0">
      <selection activeCell="C6" sqref="C6"/>
    </sheetView>
  </sheetViews>
  <sheetFormatPr defaultRowHeight="15" x14ac:dyDescent="0.25"/>
  <cols>
    <col min="1" max="1" width="6.140625" bestFit="1" customWidth="1"/>
    <col min="2" max="2" width="16.5703125" customWidth="1"/>
    <col min="3" max="3" width="57.85546875" bestFit="1" customWidth="1"/>
    <col min="4" max="4" width="28.5703125" style="3" bestFit="1" customWidth="1"/>
    <col min="5" max="5" width="18.5703125" style="3" customWidth="1"/>
    <col min="6" max="6" width="25.28515625" style="3" customWidth="1"/>
    <col min="7" max="7" width="31.28515625" style="52" bestFit="1" customWidth="1"/>
    <col min="8" max="8" width="20.7109375" bestFit="1" customWidth="1"/>
    <col min="9" max="9" width="6.140625" style="3" bestFit="1" customWidth="1"/>
    <col min="10" max="10" width="8.5703125" style="3" customWidth="1"/>
    <col min="11" max="11" width="19.42578125" bestFit="1" customWidth="1"/>
    <col min="12" max="12" width="13.42578125" bestFit="1" customWidth="1"/>
    <col min="13" max="13" width="19.85546875" bestFit="1" customWidth="1"/>
    <col min="14" max="14" width="20" bestFit="1" customWidth="1"/>
    <col min="15" max="16" width="20" customWidth="1"/>
    <col min="17" max="17" width="20.42578125" style="3" bestFit="1" customWidth="1"/>
  </cols>
  <sheetData>
    <row r="1" spans="1:17" ht="16.5" thickBot="1" x14ac:dyDescent="0.3">
      <c r="A1" s="44" t="s">
        <v>403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</row>
    <row r="2" spans="1:17" ht="15.75" thickBot="1" x14ac:dyDescent="0.3">
      <c r="A2" s="1" t="s">
        <v>34</v>
      </c>
      <c r="B2" s="2" t="s">
        <v>35</v>
      </c>
      <c r="C2" s="2" t="s">
        <v>0</v>
      </c>
      <c r="D2" s="2" t="s">
        <v>1</v>
      </c>
      <c r="E2" s="2" t="s">
        <v>36</v>
      </c>
      <c r="F2" s="2" t="s">
        <v>3</v>
      </c>
      <c r="G2" s="2" t="s">
        <v>2</v>
      </c>
      <c r="H2" s="2" t="s">
        <v>37</v>
      </c>
      <c r="I2" s="2" t="s">
        <v>38</v>
      </c>
      <c r="J2" s="2" t="s">
        <v>372</v>
      </c>
      <c r="K2" s="2" t="s">
        <v>39</v>
      </c>
      <c r="L2" s="2" t="s">
        <v>97</v>
      </c>
      <c r="M2" s="2" t="s">
        <v>374</v>
      </c>
      <c r="N2" s="2" t="s">
        <v>375</v>
      </c>
      <c r="O2" s="2" t="s">
        <v>376</v>
      </c>
      <c r="P2" s="2" t="s">
        <v>377</v>
      </c>
      <c r="Q2" s="2" t="s">
        <v>40</v>
      </c>
    </row>
    <row r="3" spans="1:17" s="10" customFormat="1" ht="15.75" thickBot="1" x14ac:dyDescent="0.3">
      <c r="A3" s="23">
        <v>1</v>
      </c>
      <c r="B3" s="47" t="s">
        <v>41</v>
      </c>
      <c r="C3" s="30" t="s">
        <v>4</v>
      </c>
      <c r="D3" s="31" t="s">
        <v>47</v>
      </c>
      <c r="E3" s="31" t="s">
        <v>5</v>
      </c>
      <c r="F3" s="31" t="s">
        <v>48</v>
      </c>
      <c r="G3" s="4" t="s">
        <v>371</v>
      </c>
      <c r="H3" s="4" t="s">
        <v>381</v>
      </c>
      <c r="I3" s="31" t="s">
        <v>98</v>
      </c>
      <c r="J3" s="32" t="s">
        <v>373</v>
      </c>
      <c r="K3" s="25">
        <v>6</v>
      </c>
      <c r="L3" s="25">
        <f>K3*6</f>
        <v>36</v>
      </c>
      <c r="M3" s="58">
        <v>0.38</v>
      </c>
      <c r="N3" s="26">
        <f>M3*K3</f>
        <v>2.2800000000000002</v>
      </c>
      <c r="O3" s="58">
        <v>0.25800000000000001</v>
      </c>
      <c r="P3" s="26">
        <f>O3*L3</f>
        <v>9.2880000000000003</v>
      </c>
      <c r="Q3" s="27"/>
    </row>
    <row r="4" spans="1:17" s="10" customFormat="1" ht="60.75" customHeight="1" thickBot="1" x14ac:dyDescent="0.3">
      <c r="A4" s="1">
        <v>2</v>
      </c>
      <c r="B4" s="48"/>
      <c r="C4" s="33" t="s">
        <v>49</v>
      </c>
      <c r="D4" s="5" t="s">
        <v>50</v>
      </c>
      <c r="E4" s="5" t="s">
        <v>5</v>
      </c>
      <c r="F4" s="5" t="s">
        <v>51</v>
      </c>
      <c r="G4" s="6" t="s">
        <v>378</v>
      </c>
      <c r="H4" s="5" t="s">
        <v>379</v>
      </c>
      <c r="I4" s="5" t="s">
        <v>7</v>
      </c>
      <c r="J4" s="34" t="s">
        <v>373</v>
      </c>
      <c r="K4" s="9">
        <v>11</v>
      </c>
      <c r="L4" s="9">
        <f t="shared" ref="L4:L67" si="0">K4*6</f>
        <v>66</v>
      </c>
      <c r="M4" s="56">
        <v>8.7999999999999995E-2</v>
      </c>
      <c r="N4" s="24">
        <f t="shared" ref="N4:N67" si="1">M4*K4</f>
        <v>0.96799999999999997</v>
      </c>
      <c r="O4" s="56">
        <v>4.9799999999999997E-2</v>
      </c>
      <c r="P4" s="24">
        <f t="shared" ref="P4:P67" si="2">O4*L4</f>
        <v>3.2867999999999999</v>
      </c>
      <c r="Q4" s="12"/>
    </row>
    <row r="5" spans="1:17" ht="64.5" thickBot="1" x14ac:dyDescent="0.3">
      <c r="A5" s="1">
        <v>3</v>
      </c>
      <c r="B5" s="48"/>
      <c r="C5" s="33" t="s">
        <v>52</v>
      </c>
      <c r="D5" s="5" t="s">
        <v>53</v>
      </c>
      <c r="E5" s="5" t="s">
        <v>9</v>
      </c>
      <c r="F5" s="5" t="s">
        <v>54</v>
      </c>
      <c r="G5" s="5" t="s">
        <v>380</v>
      </c>
      <c r="H5" s="6" t="s">
        <v>381</v>
      </c>
      <c r="I5" s="5" t="s">
        <v>6</v>
      </c>
      <c r="J5" s="34" t="s">
        <v>373</v>
      </c>
      <c r="K5" s="9">
        <v>34</v>
      </c>
      <c r="L5" s="9">
        <f t="shared" si="0"/>
        <v>204</v>
      </c>
      <c r="M5" s="56">
        <v>5.2999999999999999E-2</v>
      </c>
      <c r="N5" s="24">
        <f t="shared" si="1"/>
        <v>1.802</v>
      </c>
      <c r="O5" s="56">
        <v>2.3699999999999999E-2</v>
      </c>
      <c r="P5" s="24">
        <f t="shared" si="2"/>
        <v>4.8347999999999995</v>
      </c>
      <c r="Q5" s="13"/>
    </row>
    <row r="6" spans="1:17" ht="26.25" thickBot="1" x14ac:dyDescent="0.3">
      <c r="A6" s="1">
        <v>4</v>
      </c>
      <c r="B6" s="48"/>
      <c r="C6" s="33" t="s">
        <v>55</v>
      </c>
      <c r="D6" s="5" t="s">
        <v>56</v>
      </c>
      <c r="E6" s="5" t="s">
        <v>5</v>
      </c>
      <c r="F6" s="5" t="s">
        <v>57</v>
      </c>
      <c r="G6" s="6" t="s">
        <v>380</v>
      </c>
      <c r="H6" s="6" t="s">
        <v>381</v>
      </c>
      <c r="I6" s="5" t="s">
        <v>44</v>
      </c>
      <c r="J6" s="34" t="s">
        <v>373</v>
      </c>
      <c r="K6" s="9">
        <v>13</v>
      </c>
      <c r="L6" s="9">
        <f t="shared" si="0"/>
        <v>78</v>
      </c>
      <c r="M6" s="56">
        <v>0.45</v>
      </c>
      <c r="N6" s="24">
        <f t="shared" si="1"/>
        <v>5.8500000000000005</v>
      </c>
      <c r="O6" s="56">
        <v>0.22020000000000001</v>
      </c>
      <c r="P6" s="24">
        <f t="shared" si="2"/>
        <v>17.175599999999999</v>
      </c>
      <c r="Q6" s="13"/>
    </row>
    <row r="7" spans="1:17" ht="15.75" thickBot="1" x14ac:dyDescent="0.3">
      <c r="A7" s="1">
        <v>5</v>
      </c>
      <c r="B7" s="48"/>
      <c r="C7" s="33" t="s">
        <v>58</v>
      </c>
      <c r="D7" s="5" t="s">
        <v>59</v>
      </c>
      <c r="E7" s="5" t="s">
        <v>5</v>
      </c>
      <c r="F7" s="5" t="s">
        <v>60</v>
      </c>
      <c r="G7" s="6" t="s">
        <v>383</v>
      </c>
      <c r="H7" s="6" t="s">
        <v>381</v>
      </c>
      <c r="I7" s="5" t="s">
        <v>99</v>
      </c>
      <c r="J7" s="34" t="s">
        <v>373</v>
      </c>
      <c r="K7" s="9">
        <v>2</v>
      </c>
      <c r="L7" s="9">
        <f t="shared" si="0"/>
        <v>12</v>
      </c>
      <c r="M7" s="56">
        <v>0.12</v>
      </c>
      <c r="N7" s="24">
        <f t="shared" si="1"/>
        <v>0.24</v>
      </c>
      <c r="O7" s="56">
        <v>8.6999999999999994E-2</v>
      </c>
      <c r="P7" s="24">
        <f t="shared" si="2"/>
        <v>1.044</v>
      </c>
      <c r="Q7" s="13"/>
    </row>
    <row r="8" spans="1:17" ht="15.75" thickBot="1" x14ac:dyDescent="0.3">
      <c r="A8" s="1">
        <v>6</v>
      </c>
      <c r="B8" s="48"/>
      <c r="C8" s="33" t="s">
        <v>61</v>
      </c>
      <c r="D8" s="5" t="s">
        <v>62</v>
      </c>
      <c r="E8" s="5" t="s">
        <v>411</v>
      </c>
      <c r="F8" s="5" t="s">
        <v>63</v>
      </c>
      <c r="G8" s="6" t="s">
        <v>384</v>
      </c>
      <c r="H8" s="6" t="s">
        <v>381</v>
      </c>
      <c r="I8" s="5" t="s">
        <v>100</v>
      </c>
      <c r="J8" s="34" t="s">
        <v>373</v>
      </c>
      <c r="K8" s="9">
        <v>5</v>
      </c>
      <c r="L8" s="9">
        <f t="shared" si="0"/>
        <v>30</v>
      </c>
      <c r="M8" s="56">
        <v>1.07</v>
      </c>
      <c r="N8" s="24">
        <f t="shared" si="1"/>
        <v>5.3500000000000005</v>
      </c>
      <c r="O8" s="56">
        <v>0.81200000000000006</v>
      </c>
      <c r="P8" s="24">
        <f t="shared" si="2"/>
        <v>24.360000000000003</v>
      </c>
      <c r="Q8" s="13"/>
    </row>
    <row r="9" spans="1:17" ht="15.75" thickBot="1" x14ac:dyDescent="0.3">
      <c r="A9" s="1">
        <v>7</v>
      </c>
      <c r="B9" s="48"/>
      <c r="C9" s="33" t="s">
        <v>64</v>
      </c>
      <c r="D9" s="5" t="s">
        <v>65</v>
      </c>
      <c r="E9" s="5" t="s">
        <v>66</v>
      </c>
      <c r="F9" s="5" t="s">
        <v>67</v>
      </c>
      <c r="G9" s="6" t="s">
        <v>386</v>
      </c>
      <c r="H9" s="6" t="s">
        <v>385</v>
      </c>
      <c r="I9" s="5" t="s">
        <v>101</v>
      </c>
      <c r="J9" s="34" t="s">
        <v>373</v>
      </c>
      <c r="K9" s="9">
        <v>2</v>
      </c>
      <c r="L9" s="9">
        <f t="shared" si="0"/>
        <v>12</v>
      </c>
      <c r="M9" s="56">
        <v>0.12</v>
      </c>
      <c r="N9" s="24">
        <f t="shared" si="1"/>
        <v>0.24</v>
      </c>
      <c r="O9" s="56">
        <v>0.12</v>
      </c>
      <c r="P9" s="24">
        <f t="shared" si="2"/>
        <v>1.44</v>
      </c>
      <c r="Q9" s="18"/>
    </row>
    <row r="10" spans="1:17" ht="15.75" thickBot="1" x14ac:dyDescent="0.3">
      <c r="A10" s="1">
        <v>8</v>
      </c>
      <c r="B10" s="48"/>
      <c r="C10" s="33" t="s">
        <v>68</v>
      </c>
      <c r="D10" s="5" t="s">
        <v>69</v>
      </c>
      <c r="E10" s="5" t="s">
        <v>70</v>
      </c>
      <c r="F10" s="5" t="s">
        <v>71</v>
      </c>
      <c r="G10" s="6" t="s">
        <v>380</v>
      </c>
      <c r="H10" s="11" t="s">
        <v>382</v>
      </c>
      <c r="I10" s="5" t="s">
        <v>102</v>
      </c>
      <c r="J10" s="34" t="s">
        <v>373</v>
      </c>
      <c r="K10" s="9">
        <v>3</v>
      </c>
      <c r="L10" s="9">
        <f t="shared" si="0"/>
        <v>18</v>
      </c>
      <c r="M10" s="56">
        <v>0.1</v>
      </c>
      <c r="N10" s="24">
        <f t="shared" si="1"/>
        <v>0.30000000000000004</v>
      </c>
      <c r="O10" s="56">
        <v>2.5999999999999999E-2</v>
      </c>
      <c r="P10" s="24">
        <f t="shared" si="2"/>
        <v>0.46799999999999997</v>
      </c>
      <c r="Q10" s="13"/>
    </row>
    <row r="11" spans="1:17" ht="15.75" thickBot="1" x14ac:dyDescent="0.3">
      <c r="A11" s="1">
        <v>9</v>
      </c>
      <c r="B11" s="48"/>
      <c r="C11" s="33" t="s">
        <v>72</v>
      </c>
      <c r="D11" s="5" t="s">
        <v>73</v>
      </c>
      <c r="E11" s="5" t="s">
        <v>70</v>
      </c>
      <c r="F11" s="5" t="s">
        <v>74</v>
      </c>
      <c r="G11" s="6" t="s">
        <v>380</v>
      </c>
      <c r="H11" s="11" t="s">
        <v>382</v>
      </c>
      <c r="I11" s="5" t="s">
        <v>103</v>
      </c>
      <c r="J11" s="34" t="s">
        <v>373</v>
      </c>
      <c r="K11" s="9">
        <v>1</v>
      </c>
      <c r="L11" s="9">
        <f t="shared" si="0"/>
        <v>6</v>
      </c>
      <c r="M11" s="56">
        <v>0.1</v>
      </c>
      <c r="N11" s="24">
        <f t="shared" si="1"/>
        <v>0.1</v>
      </c>
      <c r="O11" s="56">
        <v>0.1</v>
      </c>
      <c r="P11" s="24">
        <f t="shared" si="2"/>
        <v>0.60000000000000009</v>
      </c>
      <c r="Q11" s="13"/>
    </row>
    <row r="12" spans="1:17" ht="15.75" thickBot="1" x14ac:dyDescent="0.3">
      <c r="A12" s="1">
        <v>10</v>
      </c>
      <c r="B12" s="48"/>
      <c r="C12" s="33" t="s">
        <v>75</v>
      </c>
      <c r="D12" s="5" t="s">
        <v>76</v>
      </c>
      <c r="E12" s="5" t="s">
        <v>70</v>
      </c>
      <c r="F12" s="5" t="s">
        <v>77</v>
      </c>
      <c r="G12" s="6" t="s">
        <v>380</v>
      </c>
      <c r="H12" s="11" t="s">
        <v>387</v>
      </c>
      <c r="I12" s="5" t="s">
        <v>8</v>
      </c>
      <c r="J12" s="34" t="s">
        <v>373</v>
      </c>
      <c r="K12" s="9">
        <v>1</v>
      </c>
      <c r="L12" s="9">
        <f t="shared" si="0"/>
        <v>6</v>
      </c>
      <c r="M12" s="56">
        <v>0.28999999999999998</v>
      </c>
      <c r="N12" s="24">
        <f t="shared" si="1"/>
        <v>0.28999999999999998</v>
      </c>
      <c r="O12" s="56">
        <v>0.28999999999999998</v>
      </c>
      <c r="P12" s="24">
        <f t="shared" si="2"/>
        <v>1.7399999999999998</v>
      </c>
      <c r="Q12" s="13"/>
    </row>
    <row r="13" spans="1:17" ht="15.75" thickBot="1" x14ac:dyDescent="0.3">
      <c r="A13" s="1">
        <v>11</v>
      </c>
      <c r="B13" s="48"/>
      <c r="C13" s="33" t="s">
        <v>78</v>
      </c>
      <c r="D13" s="5" t="s">
        <v>79</v>
      </c>
      <c r="E13" s="5" t="s">
        <v>9</v>
      </c>
      <c r="F13" s="5" t="s">
        <v>80</v>
      </c>
      <c r="G13" s="6" t="s">
        <v>380</v>
      </c>
      <c r="H13" s="11" t="s">
        <v>387</v>
      </c>
      <c r="I13" s="5" t="s">
        <v>104</v>
      </c>
      <c r="J13" s="34" t="s">
        <v>373</v>
      </c>
      <c r="K13" s="9">
        <v>2</v>
      </c>
      <c r="L13" s="9">
        <f t="shared" si="0"/>
        <v>12</v>
      </c>
      <c r="M13" s="56">
        <v>0.1</v>
      </c>
      <c r="N13" s="24">
        <f t="shared" si="1"/>
        <v>0.2</v>
      </c>
      <c r="O13" s="56">
        <v>6.5000000000000002E-2</v>
      </c>
      <c r="P13" s="24">
        <f t="shared" si="2"/>
        <v>0.78</v>
      </c>
      <c r="Q13" s="13"/>
    </row>
    <row r="14" spans="1:17" ht="15.75" thickBot="1" x14ac:dyDescent="0.3">
      <c r="A14" s="1">
        <v>12</v>
      </c>
      <c r="B14" s="48"/>
      <c r="C14" s="33" t="s">
        <v>81</v>
      </c>
      <c r="D14" s="5" t="s">
        <v>82</v>
      </c>
      <c r="E14" s="5" t="s">
        <v>5</v>
      </c>
      <c r="F14" s="5" t="s">
        <v>83</v>
      </c>
      <c r="G14" s="6" t="s">
        <v>383</v>
      </c>
      <c r="H14" s="11" t="s">
        <v>387</v>
      </c>
      <c r="I14" s="5" t="s">
        <v>105</v>
      </c>
      <c r="J14" s="34" t="s">
        <v>373</v>
      </c>
      <c r="K14" s="9">
        <v>1</v>
      </c>
      <c r="L14" s="9">
        <f t="shared" si="0"/>
        <v>6</v>
      </c>
      <c r="M14" s="56">
        <v>0.1</v>
      </c>
      <c r="N14" s="24">
        <f t="shared" si="1"/>
        <v>0.1</v>
      </c>
      <c r="O14" s="56">
        <v>0.1</v>
      </c>
      <c r="P14" s="24">
        <f t="shared" si="2"/>
        <v>0.60000000000000009</v>
      </c>
      <c r="Q14" s="13"/>
    </row>
    <row r="15" spans="1:17" ht="15.75" thickBot="1" x14ac:dyDescent="0.3">
      <c r="A15" s="1">
        <v>13</v>
      </c>
      <c r="B15" s="48"/>
      <c r="C15" s="33" t="s">
        <v>84</v>
      </c>
      <c r="D15" s="5" t="s">
        <v>85</v>
      </c>
      <c r="E15" s="5" t="s">
        <v>5</v>
      </c>
      <c r="F15" s="5" t="s">
        <v>86</v>
      </c>
      <c r="G15" s="6"/>
      <c r="H15" s="11"/>
      <c r="I15" s="5" t="s">
        <v>106</v>
      </c>
      <c r="J15" s="5"/>
      <c r="K15" s="9">
        <v>2</v>
      </c>
      <c r="L15" s="9">
        <f t="shared" si="0"/>
        <v>12</v>
      </c>
      <c r="M15" s="56"/>
      <c r="N15" s="24">
        <f t="shared" si="1"/>
        <v>0</v>
      </c>
      <c r="O15" s="56"/>
      <c r="P15" s="24">
        <f t="shared" si="2"/>
        <v>0</v>
      </c>
      <c r="Q15" s="13"/>
    </row>
    <row r="16" spans="1:17" ht="15.75" thickBot="1" x14ac:dyDescent="0.3">
      <c r="A16" s="1">
        <v>14</v>
      </c>
      <c r="B16" s="48"/>
      <c r="C16" s="33" t="s">
        <v>87</v>
      </c>
      <c r="D16" s="5" t="s">
        <v>88</v>
      </c>
      <c r="E16" s="5" t="s">
        <v>89</v>
      </c>
      <c r="F16" s="5" t="s">
        <v>90</v>
      </c>
      <c r="G16" s="6" t="s">
        <v>389</v>
      </c>
      <c r="H16" s="11" t="s">
        <v>388</v>
      </c>
      <c r="I16" s="5" t="s">
        <v>107</v>
      </c>
      <c r="J16" s="34" t="s">
        <v>373</v>
      </c>
      <c r="K16" s="9">
        <v>2</v>
      </c>
      <c r="L16" s="9">
        <f t="shared" si="0"/>
        <v>12</v>
      </c>
      <c r="M16" s="56">
        <v>0.45</v>
      </c>
      <c r="N16" s="24">
        <f t="shared" si="1"/>
        <v>0.9</v>
      </c>
      <c r="O16" s="56">
        <v>0.45</v>
      </c>
      <c r="P16" s="24">
        <f t="shared" si="2"/>
        <v>5.4</v>
      </c>
      <c r="Q16" s="13"/>
    </row>
    <row r="17" spans="1:17" ht="15.75" thickBot="1" x14ac:dyDescent="0.3">
      <c r="A17" s="1">
        <v>15</v>
      </c>
      <c r="B17" s="48"/>
      <c r="C17" s="33" t="s">
        <v>91</v>
      </c>
      <c r="D17" s="5" t="s">
        <v>92</v>
      </c>
      <c r="E17" s="5" t="s">
        <v>70</v>
      </c>
      <c r="F17" s="5" t="s">
        <v>93</v>
      </c>
      <c r="G17" s="6" t="s">
        <v>383</v>
      </c>
      <c r="H17" s="11" t="s">
        <v>387</v>
      </c>
      <c r="I17" s="5" t="s">
        <v>108</v>
      </c>
      <c r="J17" s="34" t="s">
        <v>373</v>
      </c>
      <c r="K17" s="9">
        <v>1</v>
      </c>
      <c r="L17" s="9">
        <f t="shared" si="0"/>
        <v>6</v>
      </c>
      <c r="M17" s="56">
        <v>0.1</v>
      </c>
      <c r="N17" s="24">
        <f t="shared" si="1"/>
        <v>0.1</v>
      </c>
      <c r="O17" s="56">
        <v>0.1</v>
      </c>
      <c r="P17" s="24">
        <f t="shared" si="2"/>
        <v>0.60000000000000009</v>
      </c>
      <c r="Q17" s="13"/>
    </row>
    <row r="18" spans="1:17" ht="15.75" thickBot="1" x14ac:dyDescent="0.3">
      <c r="A18" s="1">
        <v>16</v>
      </c>
      <c r="B18" s="49"/>
      <c r="C18" s="35" t="s">
        <v>94</v>
      </c>
      <c r="D18" s="36" t="s">
        <v>95</v>
      </c>
      <c r="E18" s="36"/>
      <c r="F18" s="36" t="s">
        <v>96</v>
      </c>
      <c r="G18" s="8" t="s">
        <v>390</v>
      </c>
      <c r="H18" s="15" t="s">
        <v>387</v>
      </c>
      <c r="I18" s="36" t="s">
        <v>109</v>
      </c>
      <c r="J18" s="37" t="s">
        <v>373</v>
      </c>
      <c r="K18" s="28">
        <v>1</v>
      </c>
      <c r="L18" s="28">
        <f t="shared" si="0"/>
        <v>6</v>
      </c>
      <c r="M18" s="60">
        <v>0.87</v>
      </c>
      <c r="N18" s="29">
        <f t="shared" si="1"/>
        <v>0.87</v>
      </c>
      <c r="O18" s="60">
        <v>0.87</v>
      </c>
      <c r="P18" s="29">
        <f t="shared" si="2"/>
        <v>5.22</v>
      </c>
      <c r="Q18" s="14"/>
    </row>
    <row r="19" spans="1:17" ht="15.75" thickBot="1" x14ac:dyDescent="0.3">
      <c r="A19" s="1">
        <v>17</v>
      </c>
      <c r="B19" s="47" t="s">
        <v>42</v>
      </c>
      <c r="C19" s="30" t="s">
        <v>110</v>
      </c>
      <c r="D19" s="31" t="s">
        <v>10</v>
      </c>
      <c r="E19" s="31" t="s">
        <v>111</v>
      </c>
      <c r="F19" s="31" t="s">
        <v>112</v>
      </c>
      <c r="G19" s="4" t="s">
        <v>391</v>
      </c>
      <c r="H19" s="50" t="s">
        <v>43</v>
      </c>
      <c r="I19" s="4" t="s">
        <v>392</v>
      </c>
      <c r="J19" s="61" t="s">
        <v>373</v>
      </c>
      <c r="K19" s="25">
        <v>2</v>
      </c>
      <c r="L19" s="25">
        <f t="shared" si="0"/>
        <v>12</v>
      </c>
      <c r="M19" s="58">
        <v>0.18</v>
      </c>
      <c r="N19" s="26">
        <f t="shared" si="1"/>
        <v>0.36</v>
      </c>
      <c r="O19" s="58">
        <v>0.16800000000000001</v>
      </c>
      <c r="P19" s="26">
        <f t="shared" si="2"/>
        <v>2.016</v>
      </c>
      <c r="Q19" s="62"/>
    </row>
    <row r="20" spans="1:17" ht="15.75" thickBot="1" x14ac:dyDescent="0.3">
      <c r="A20" s="1">
        <v>18</v>
      </c>
      <c r="B20" s="48"/>
      <c r="C20" s="33" t="s">
        <v>113</v>
      </c>
      <c r="D20" s="5" t="s">
        <v>114</v>
      </c>
      <c r="E20" s="5" t="s">
        <v>115</v>
      </c>
      <c r="F20" s="5" t="s">
        <v>116</v>
      </c>
      <c r="G20" s="6" t="s">
        <v>26</v>
      </c>
      <c r="H20" s="11" t="s">
        <v>43</v>
      </c>
      <c r="I20" s="6" t="s">
        <v>392</v>
      </c>
      <c r="J20" s="53" t="s">
        <v>373</v>
      </c>
      <c r="K20" s="9">
        <v>1</v>
      </c>
      <c r="L20" s="9">
        <f t="shared" si="0"/>
        <v>6</v>
      </c>
      <c r="M20" s="56">
        <v>0.51</v>
      </c>
      <c r="N20" s="24">
        <f t="shared" si="1"/>
        <v>0.51</v>
      </c>
      <c r="O20" s="56">
        <v>0.51</v>
      </c>
      <c r="P20" s="24">
        <f t="shared" si="2"/>
        <v>3.06</v>
      </c>
      <c r="Q20" s="13"/>
    </row>
    <row r="21" spans="1:17" ht="15.75" thickBot="1" x14ac:dyDescent="0.3">
      <c r="A21" s="1">
        <v>19</v>
      </c>
      <c r="B21" s="48"/>
      <c r="C21" s="33" t="s">
        <v>117</v>
      </c>
      <c r="D21" s="5" t="s">
        <v>118</v>
      </c>
      <c r="E21" s="5" t="s">
        <v>119</v>
      </c>
      <c r="F21" s="5" t="s">
        <v>16</v>
      </c>
      <c r="G21" s="6"/>
      <c r="H21" s="11"/>
      <c r="I21" s="6" t="s">
        <v>392</v>
      </c>
      <c r="J21" s="6"/>
      <c r="K21" s="9">
        <v>1</v>
      </c>
      <c r="L21" s="9">
        <f t="shared" si="0"/>
        <v>6</v>
      </c>
      <c r="M21" s="56"/>
      <c r="N21" s="24">
        <f t="shared" si="1"/>
        <v>0</v>
      </c>
      <c r="O21" s="56"/>
      <c r="P21" s="24">
        <f t="shared" si="2"/>
        <v>0</v>
      </c>
      <c r="Q21" s="13"/>
    </row>
    <row r="22" spans="1:17" ht="15.75" thickBot="1" x14ac:dyDescent="0.3">
      <c r="A22" s="1">
        <v>20</v>
      </c>
      <c r="B22" s="48"/>
      <c r="C22" s="33" t="s">
        <v>120</v>
      </c>
      <c r="D22" s="5" t="s">
        <v>121</v>
      </c>
      <c r="E22" s="5" t="s">
        <v>111</v>
      </c>
      <c r="F22" s="5" t="s">
        <v>122</v>
      </c>
      <c r="G22" s="6" t="s">
        <v>391</v>
      </c>
      <c r="H22" s="11" t="s">
        <v>46</v>
      </c>
      <c r="I22" s="6" t="s">
        <v>392</v>
      </c>
      <c r="J22" s="53" t="s">
        <v>373</v>
      </c>
      <c r="K22" s="9">
        <v>1</v>
      </c>
      <c r="L22" s="9">
        <f t="shared" si="0"/>
        <v>6</v>
      </c>
      <c r="M22" s="56">
        <v>0.44</v>
      </c>
      <c r="N22" s="24">
        <f t="shared" si="1"/>
        <v>0.44</v>
      </c>
      <c r="O22" s="56">
        <v>0.44</v>
      </c>
      <c r="P22" s="24">
        <f t="shared" si="2"/>
        <v>2.64</v>
      </c>
      <c r="Q22" s="13"/>
    </row>
    <row r="23" spans="1:17" ht="39" thickBot="1" x14ac:dyDescent="0.3">
      <c r="A23" s="1">
        <v>21</v>
      </c>
      <c r="B23" s="48"/>
      <c r="C23" s="33" t="s">
        <v>123</v>
      </c>
      <c r="D23" s="5" t="s">
        <v>124</v>
      </c>
      <c r="E23" s="5" t="s">
        <v>125</v>
      </c>
      <c r="F23" s="5" t="s">
        <v>126</v>
      </c>
      <c r="G23" s="5" t="s">
        <v>393</v>
      </c>
      <c r="H23" s="5" t="s">
        <v>46</v>
      </c>
      <c r="I23" s="6" t="s">
        <v>392</v>
      </c>
      <c r="J23" s="53" t="s">
        <v>373</v>
      </c>
      <c r="K23" s="9">
        <v>2</v>
      </c>
      <c r="L23" s="9">
        <f t="shared" si="0"/>
        <v>12</v>
      </c>
      <c r="M23" s="56">
        <v>0.27684999999999998</v>
      </c>
      <c r="N23" s="24">
        <f t="shared" si="1"/>
        <v>0.55369999999999997</v>
      </c>
      <c r="O23" s="56">
        <v>0.27684999999999998</v>
      </c>
      <c r="P23" s="24">
        <f t="shared" si="2"/>
        <v>3.3221999999999996</v>
      </c>
      <c r="Q23" s="18"/>
    </row>
    <row r="24" spans="1:17" ht="15.75" thickBot="1" x14ac:dyDescent="0.3">
      <c r="A24" s="1">
        <v>22</v>
      </c>
      <c r="B24" s="48"/>
      <c r="C24" s="33" t="s">
        <v>127</v>
      </c>
      <c r="D24" s="5" t="s">
        <v>128</v>
      </c>
      <c r="E24" s="5" t="s">
        <v>129</v>
      </c>
      <c r="F24" s="5" t="s">
        <v>130</v>
      </c>
      <c r="G24" s="16" t="s">
        <v>26</v>
      </c>
      <c r="H24" s="17" t="s">
        <v>45</v>
      </c>
      <c r="I24" s="6" t="s">
        <v>392</v>
      </c>
      <c r="J24" s="54" t="s">
        <v>373</v>
      </c>
      <c r="K24" s="9">
        <v>1</v>
      </c>
      <c r="L24" s="9">
        <f t="shared" si="0"/>
        <v>6</v>
      </c>
      <c r="M24" s="56">
        <v>0.56999999999999995</v>
      </c>
      <c r="N24" s="24">
        <f t="shared" si="1"/>
        <v>0.56999999999999995</v>
      </c>
      <c r="O24" s="56">
        <v>0.56999999999999995</v>
      </c>
      <c r="P24" s="24">
        <f t="shared" si="2"/>
        <v>3.42</v>
      </c>
      <c r="Q24" s="63"/>
    </row>
    <row r="25" spans="1:17" ht="15.75" thickBot="1" x14ac:dyDescent="0.3">
      <c r="A25" s="1">
        <v>23</v>
      </c>
      <c r="B25" s="49"/>
      <c r="C25" s="35" t="s">
        <v>12</v>
      </c>
      <c r="D25" s="36" t="s">
        <v>131</v>
      </c>
      <c r="E25" s="36" t="s">
        <v>13</v>
      </c>
      <c r="F25" s="36" t="s">
        <v>11</v>
      </c>
      <c r="G25" s="8" t="s">
        <v>394</v>
      </c>
      <c r="H25" s="64" t="s">
        <v>45</v>
      </c>
      <c r="I25" s="8" t="s">
        <v>392</v>
      </c>
      <c r="J25" s="65" t="s">
        <v>373</v>
      </c>
      <c r="K25" s="28">
        <v>3</v>
      </c>
      <c r="L25" s="28">
        <f t="shared" si="0"/>
        <v>18</v>
      </c>
      <c r="M25" s="60">
        <v>0.38</v>
      </c>
      <c r="N25" s="29">
        <f t="shared" si="1"/>
        <v>1.1400000000000001</v>
      </c>
      <c r="O25" s="60">
        <v>0.28499999999999998</v>
      </c>
      <c r="P25" s="29">
        <f t="shared" si="2"/>
        <v>5.13</v>
      </c>
      <c r="Q25" s="14"/>
    </row>
    <row r="26" spans="1:17" ht="15.75" thickBot="1" x14ac:dyDescent="0.3">
      <c r="A26" s="1">
        <v>24</v>
      </c>
      <c r="B26" s="47" t="s">
        <v>156</v>
      </c>
      <c r="C26" s="92" t="s">
        <v>132</v>
      </c>
      <c r="D26" s="70" t="s">
        <v>15</v>
      </c>
      <c r="E26" s="70" t="s">
        <v>133</v>
      </c>
      <c r="F26" s="70" t="s">
        <v>134</v>
      </c>
      <c r="G26" s="4" t="s">
        <v>395</v>
      </c>
      <c r="H26" s="66" t="s">
        <v>45</v>
      </c>
      <c r="I26" s="31" t="s">
        <v>150</v>
      </c>
      <c r="J26" s="32" t="s">
        <v>373</v>
      </c>
      <c r="K26" s="25">
        <v>1</v>
      </c>
      <c r="L26" s="25">
        <f t="shared" si="0"/>
        <v>6</v>
      </c>
      <c r="M26" s="58">
        <v>0.1</v>
      </c>
      <c r="N26" s="26">
        <f t="shared" si="1"/>
        <v>0.1</v>
      </c>
      <c r="O26" s="58">
        <v>0.1</v>
      </c>
      <c r="P26" s="26">
        <f t="shared" si="2"/>
        <v>0.60000000000000009</v>
      </c>
      <c r="Q26" s="71"/>
    </row>
    <row r="27" spans="1:17" ht="15.75" thickBot="1" x14ac:dyDescent="0.3">
      <c r="A27" s="1">
        <v>25</v>
      </c>
      <c r="B27" s="48"/>
      <c r="C27" s="93" t="s">
        <v>135</v>
      </c>
      <c r="D27" s="38" t="s">
        <v>136</v>
      </c>
      <c r="E27" s="38" t="s">
        <v>411</v>
      </c>
      <c r="F27" s="38" t="s">
        <v>137</v>
      </c>
      <c r="G27" s="6" t="s">
        <v>380</v>
      </c>
      <c r="H27" s="17" t="s">
        <v>45</v>
      </c>
      <c r="I27" s="5" t="s">
        <v>151</v>
      </c>
      <c r="J27" s="34" t="s">
        <v>373</v>
      </c>
      <c r="K27" s="9">
        <v>2</v>
      </c>
      <c r="L27" s="9">
        <f t="shared" si="0"/>
        <v>12</v>
      </c>
      <c r="M27" s="56">
        <v>0.45</v>
      </c>
      <c r="N27" s="24">
        <f t="shared" si="1"/>
        <v>0.9</v>
      </c>
      <c r="O27" s="56">
        <v>0.39600000000000002</v>
      </c>
      <c r="P27" s="24">
        <f t="shared" si="2"/>
        <v>4.7520000000000007</v>
      </c>
      <c r="Q27" s="18"/>
    </row>
    <row r="28" spans="1:17" ht="15.75" thickBot="1" x14ac:dyDescent="0.3">
      <c r="A28" s="1">
        <v>26</v>
      </c>
      <c r="B28" s="48"/>
      <c r="C28" s="93" t="s">
        <v>138</v>
      </c>
      <c r="D28" s="38" t="s">
        <v>139</v>
      </c>
      <c r="E28" s="38" t="s">
        <v>411</v>
      </c>
      <c r="F28" s="38" t="s">
        <v>140</v>
      </c>
      <c r="G28" s="6" t="s">
        <v>396</v>
      </c>
      <c r="H28" s="17" t="s">
        <v>392</v>
      </c>
      <c r="I28" s="5" t="s">
        <v>152</v>
      </c>
      <c r="J28" s="34" t="s">
        <v>373</v>
      </c>
      <c r="K28" s="9">
        <v>2</v>
      </c>
      <c r="L28" s="9">
        <f t="shared" si="0"/>
        <v>12</v>
      </c>
      <c r="M28" s="56">
        <v>0.41</v>
      </c>
      <c r="N28" s="24">
        <f t="shared" si="1"/>
        <v>0.82</v>
      </c>
      <c r="O28" s="56">
        <v>0.36499999999999999</v>
      </c>
      <c r="P28" s="24">
        <f t="shared" si="2"/>
        <v>4.38</v>
      </c>
      <c r="Q28" s="18"/>
    </row>
    <row r="29" spans="1:17" ht="15.75" thickBot="1" x14ac:dyDescent="0.3">
      <c r="A29" s="1">
        <v>27</v>
      </c>
      <c r="B29" s="48"/>
      <c r="C29" s="93" t="s">
        <v>141</v>
      </c>
      <c r="D29" s="38" t="s">
        <v>142</v>
      </c>
      <c r="E29" s="38" t="s">
        <v>411</v>
      </c>
      <c r="F29" s="38" t="s">
        <v>143</v>
      </c>
      <c r="G29" s="6" t="s">
        <v>380</v>
      </c>
      <c r="H29" s="17" t="s">
        <v>392</v>
      </c>
      <c r="I29" s="5" t="s">
        <v>153</v>
      </c>
      <c r="J29" s="34" t="s">
        <v>373</v>
      </c>
      <c r="K29" s="9">
        <v>1</v>
      </c>
      <c r="L29" s="9">
        <f t="shared" si="0"/>
        <v>6</v>
      </c>
      <c r="M29" s="56">
        <v>0.48</v>
      </c>
      <c r="N29" s="24">
        <f t="shared" si="1"/>
        <v>0.48</v>
      </c>
      <c r="O29" s="56">
        <v>0.48</v>
      </c>
      <c r="P29" s="24">
        <f t="shared" si="2"/>
        <v>2.88</v>
      </c>
      <c r="Q29" s="18"/>
    </row>
    <row r="30" spans="1:17" ht="15.75" thickBot="1" x14ac:dyDescent="0.3">
      <c r="A30" s="1">
        <v>28</v>
      </c>
      <c r="B30" s="48"/>
      <c r="C30" s="93" t="s">
        <v>144</v>
      </c>
      <c r="D30" s="38" t="s">
        <v>145</v>
      </c>
      <c r="E30" s="38" t="s">
        <v>411</v>
      </c>
      <c r="F30" s="38" t="s">
        <v>146</v>
      </c>
      <c r="G30" s="6" t="s">
        <v>397</v>
      </c>
      <c r="H30" s="17" t="s">
        <v>392</v>
      </c>
      <c r="I30" s="5" t="s">
        <v>154</v>
      </c>
      <c r="J30" s="34" t="s">
        <v>373</v>
      </c>
      <c r="K30" s="9">
        <v>1</v>
      </c>
      <c r="L30" s="9">
        <f t="shared" si="0"/>
        <v>6</v>
      </c>
      <c r="M30" s="56">
        <v>2.2000000000000002</v>
      </c>
      <c r="N30" s="24">
        <f t="shared" si="1"/>
        <v>2.2000000000000002</v>
      </c>
      <c r="O30" s="56">
        <v>2.2000000000000002</v>
      </c>
      <c r="P30" s="24">
        <f t="shared" si="2"/>
        <v>13.200000000000001</v>
      </c>
      <c r="Q30" s="18"/>
    </row>
    <row r="31" spans="1:17" ht="15.75" thickBot="1" x14ac:dyDescent="0.3">
      <c r="A31" s="1">
        <v>29</v>
      </c>
      <c r="B31" s="49"/>
      <c r="C31" s="94" t="s">
        <v>147</v>
      </c>
      <c r="D31" s="72" t="s">
        <v>148</v>
      </c>
      <c r="E31" s="72" t="s">
        <v>411</v>
      </c>
      <c r="F31" s="72" t="s">
        <v>149</v>
      </c>
      <c r="G31" s="8" t="s">
        <v>396</v>
      </c>
      <c r="H31" s="64" t="s">
        <v>392</v>
      </c>
      <c r="I31" s="36" t="s">
        <v>155</v>
      </c>
      <c r="J31" s="37" t="s">
        <v>373</v>
      </c>
      <c r="K31" s="28">
        <v>1</v>
      </c>
      <c r="L31" s="28">
        <f t="shared" si="0"/>
        <v>6</v>
      </c>
      <c r="M31" s="60">
        <v>0.3</v>
      </c>
      <c r="N31" s="29">
        <f t="shared" si="1"/>
        <v>0.3</v>
      </c>
      <c r="O31" s="60">
        <v>0.3</v>
      </c>
      <c r="P31" s="29">
        <f t="shared" si="2"/>
        <v>1.7999999999999998</v>
      </c>
      <c r="Q31" s="73"/>
    </row>
    <row r="32" spans="1:17" ht="15.75" thickBot="1" x14ac:dyDescent="0.3">
      <c r="A32" s="1">
        <v>30</v>
      </c>
      <c r="B32" s="74" t="s">
        <v>163</v>
      </c>
      <c r="C32" s="95" t="s">
        <v>157</v>
      </c>
      <c r="D32" s="76" t="s">
        <v>158</v>
      </c>
      <c r="E32" s="76" t="s">
        <v>17</v>
      </c>
      <c r="F32" s="76" t="s">
        <v>159</v>
      </c>
      <c r="G32" s="77" t="s">
        <v>398</v>
      </c>
      <c r="H32" s="78" t="s">
        <v>392</v>
      </c>
      <c r="I32" s="77" t="s">
        <v>392</v>
      </c>
      <c r="J32" s="79" t="s">
        <v>373</v>
      </c>
      <c r="K32" s="80">
        <v>2</v>
      </c>
      <c r="L32" s="80">
        <f t="shared" si="0"/>
        <v>12</v>
      </c>
      <c r="M32" s="81">
        <v>0.54</v>
      </c>
      <c r="N32" s="82">
        <f t="shared" si="1"/>
        <v>1.08</v>
      </c>
      <c r="O32" s="81">
        <v>0.33100000000000002</v>
      </c>
      <c r="P32" s="82">
        <f t="shared" si="2"/>
        <v>3.9720000000000004</v>
      </c>
      <c r="Q32" s="115"/>
    </row>
    <row r="33" spans="1:17" ht="15.75" thickBot="1" x14ac:dyDescent="0.3">
      <c r="A33" s="1">
        <v>31</v>
      </c>
      <c r="B33" s="74" t="s">
        <v>437</v>
      </c>
      <c r="C33" s="83" t="s">
        <v>160</v>
      </c>
      <c r="D33" s="84" t="s">
        <v>161</v>
      </c>
      <c r="E33" s="84" t="s">
        <v>46</v>
      </c>
      <c r="F33" s="84" t="s">
        <v>162</v>
      </c>
      <c r="G33" s="85" t="s">
        <v>399</v>
      </c>
      <c r="H33" s="86" t="s">
        <v>392</v>
      </c>
      <c r="I33" s="85" t="s">
        <v>392</v>
      </c>
      <c r="J33" s="87" t="s">
        <v>373</v>
      </c>
      <c r="K33" s="88">
        <v>1</v>
      </c>
      <c r="L33" s="88">
        <f t="shared" si="0"/>
        <v>6</v>
      </c>
      <c r="M33" s="89">
        <v>2.1</v>
      </c>
      <c r="N33" s="90">
        <f t="shared" si="1"/>
        <v>2.1</v>
      </c>
      <c r="O33" s="89">
        <v>2.1</v>
      </c>
      <c r="P33" s="90">
        <f t="shared" si="2"/>
        <v>12.600000000000001</v>
      </c>
      <c r="Q33" s="91"/>
    </row>
    <row r="34" spans="1:17" ht="15.75" thickBot="1" x14ac:dyDescent="0.3">
      <c r="A34" s="1">
        <v>32</v>
      </c>
      <c r="B34" s="47" t="s">
        <v>173</v>
      </c>
      <c r="C34" s="30" t="s">
        <v>164</v>
      </c>
      <c r="D34" s="31" t="s">
        <v>165</v>
      </c>
      <c r="E34" s="31" t="s">
        <v>18</v>
      </c>
      <c r="F34" s="31" t="s">
        <v>166</v>
      </c>
      <c r="G34" s="4" t="s">
        <v>400</v>
      </c>
      <c r="H34" s="66" t="s">
        <v>392</v>
      </c>
      <c r="I34" s="4" t="s">
        <v>392</v>
      </c>
      <c r="J34" s="61" t="s">
        <v>373</v>
      </c>
      <c r="K34" s="25">
        <v>5</v>
      </c>
      <c r="L34" s="25">
        <f t="shared" si="0"/>
        <v>30</v>
      </c>
      <c r="M34" s="58">
        <v>0.108</v>
      </c>
      <c r="N34" s="26">
        <f t="shared" si="1"/>
        <v>0.54</v>
      </c>
      <c r="O34" s="58">
        <v>0.108</v>
      </c>
      <c r="P34" s="26">
        <f t="shared" si="2"/>
        <v>3.2399999999999998</v>
      </c>
      <c r="Q34" s="71"/>
    </row>
    <row r="35" spans="1:17" ht="26.25" thickBot="1" x14ac:dyDescent="0.3">
      <c r="A35" s="1">
        <v>33</v>
      </c>
      <c r="B35" s="48"/>
      <c r="C35" s="33" t="s">
        <v>167</v>
      </c>
      <c r="D35" s="5" t="s">
        <v>168</v>
      </c>
      <c r="E35" s="5" t="s">
        <v>18</v>
      </c>
      <c r="F35" s="5" t="s">
        <v>169</v>
      </c>
      <c r="G35" s="6"/>
      <c r="H35" s="17"/>
      <c r="I35" s="6" t="s">
        <v>392</v>
      </c>
      <c r="J35" s="6"/>
      <c r="K35" s="9">
        <v>2</v>
      </c>
      <c r="L35" s="9">
        <f t="shared" si="0"/>
        <v>12</v>
      </c>
      <c r="M35" s="56">
        <v>1.43</v>
      </c>
      <c r="N35" s="24">
        <f t="shared" si="1"/>
        <v>2.86</v>
      </c>
      <c r="O35" s="56">
        <v>1.26</v>
      </c>
      <c r="P35" s="24">
        <f t="shared" si="2"/>
        <v>15.120000000000001</v>
      </c>
      <c r="Q35" s="13"/>
    </row>
    <row r="36" spans="1:17" ht="15.75" thickBot="1" x14ac:dyDescent="0.3">
      <c r="A36" s="1">
        <v>34</v>
      </c>
      <c r="B36" s="49"/>
      <c r="C36" s="35" t="s">
        <v>170</v>
      </c>
      <c r="D36" s="36" t="s">
        <v>171</v>
      </c>
      <c r="E36" s="36" t="s">
        <v>401</v>
      </c>
      <c r="F36" s="36" t="s">
        <v>172</v>
      </c>
      <c r="G36" s="8" t="s">
        <v>402</v>
      </c>
      <c r="H36" s="64" t="s">
        <v>392</v>
      </c>
      <c r="I36" s="8" t="s">
        <v>392</v>
      </c>
      <c r="J36" s="65" t="s">
        <v>373</v>
      </c>
      <c r="K36" s="28">
        <v>1</v>
      </c>
      <c r="L36" s="28">
        <f t="shared" si="0"/>
        <v>6</v>
      </c>
      <c r="M36" s="60">
        <v>0.42</v>
      </c>
      <c r="N36" s="29">
        <f t="shared" si="1"/>
        <v>0.42</v>
      </c>
      <c r="O36" s="60">
        <v>0.42</v>
      </c>
      <c r="P36" s="29">
        <f t="shared" si="2"/>
        <v>2.52</v>
      </c>
      <c r="Q36" s="14"/>
    </row>
    <row r="37" spans="1:17" ht="15.75" thickBot="1" x14ac:dyDescent="0.3">
      <c r="A37" s="1">
        <v>35</v>
      </c>
      <c r="B37" s="47" t="s">
        <v>436</v>
      </c>
      <c r="C37" s="30" t="s">
        <v>174</v>
      </c>
      <c r="D37" s="31" t="s">
        <v>175</v>
      </c>
      <c r="E37" s="31" t="s">
        <v>22</v>
      </c>
      <c r="F37" s="31" t="s">
        <v>176</v>
      </c>
      <c r="G37" s="4" t="s">
        <v>383</v>
      </c>
      <c r="H37" s="66" t="s">
        <v>392</v>
      </c>
      <c r="I37" s="31" t="s">
        <v>254</v>
      </c>
      <c r="J37" s="32" t="s">
        <v>373</v>
      </c>
      <c r="K37" s="25">
        <v>3</v>
      </c>
      <c r="L37" s="25">
        <f t="shared" si="0"/>
        <v>18</v>
      </c>
      <c r="M37" s="58">
        <v>0.1</v>
      </c>
      <c r="N37" s="26">
        <f t="shared" si="1"/>
        <v>0.30000000000000004</v>
      </c>
      <c r="O37" s="58">
        <v>2.9000000000000001E-2</v>
      </c>
      <c r="P37" s="26">
        <f t="shared" si="2"/>
        <v>0.52200000000000002</v>
      </c>
      <c r="Q37" s="62"/>
    </row>
    <row r="38" spans="1:17" ht="15.75" thickBot="1" x14ac:dyDescent="0.3">
      <c r="A38" s="1">
        <v>36</v>
      </c>
      <c r="B38" s="48"/>
      <c r="C38" s="33" t="s">
        <v>177</v>
      </c>
      <c r="D38" s="5" t="s">
        <v>178</v>
      </c>
      <c r="E38" s="5" t="s">
        <v>22</v>
      </c>
      <c r="F38" s="5" t="s">
        <v>179</v>
      </c>
      <c r="G38" s="6" t="s">
        <v>383</v>
      </c>
      <c r="H38" s="17" t="s">
        <v>392</v>
      </c>
      <c r="I38" s="5" t="s">
        <v>255</v>
      </c>
      <c r="J38" s="34" t="s">
        <v>373</v>
      </c>
      <c r="K38" s="9">
        <v>1</v>
      </c>
      <c r="L38" s="9">
        <f t="shared" si="0"/>
        <v>6</v>
      </c>
      <c r="M38" s="56">
        <v>0.1</v>
      </c>
      <c r="N38" s="24">
        <f t="shared" si="1"/>
        <v>0.1</v>
      </c>
      <c r="O38" s="56">
        <v>0.1</v>
      </c>
      <c r="P38" s="24">
        <f t="shared" si="2"/>
        <v>0.60000000000000009</v>
      </c>
      <c r="Q38" s="13"/>
    </row>
    <row r="39" spans="1:17" ht="26.25" thickBot="1" x14ac:dyDescent="0.3">
      <c r="A39" s="1">
        <v>37</v>
      </c>
      <c r="B39" s="48"/>
      <c r="C39" s="33" t="s">
        <v>180</v>
      </c>
      <c r="D39" s="5" t="s">
        <v>181</v>
      </c>
      <c r="E39" s="5" t="s">
        <v>22</v>
      </c>
      <c r="F39" s="5" t="s">
        <v>182</v>
      </c>
      <c r="G39" s="6" t="s">
        <v>383</v>
      </c>
      <c r="H39" s="17" t="s">
        <v>392</v>
      </c>
      <c r="I39" s="5" t="s">
        <v>19</v>
      </c>
      <c r="J39" s="34" t="s">
        <v>373</v>
      </c>
      <c r="K39" s="9">
        <v>11</v>
      </c>
      <c r="L39" s="9">
        <f t="shared" si="0"/>
        <v>66</v>
      </c>
      <c r="M39" s="56">
        <v>0.1</v>
      </c>
      <c r="N39" s="24">
        <f t="shared" si="1"/>
        <v>1.1000000000000001</v>
      </c>
      <c r="O39" s="56">
        <v>6.6000000000000003E-2</v>
      </c>
      <c r="P39" s="24">
        <f t="shared" si="2"/>
        <v>4.3559999999999999</v>
      </c>
      <c r="Q39" s="13"/>
    </row>
    <row r="40" spans="1:17" ht="15.75" thickBot="1" x14ac:dyDescent="0.3">
      <c r="A40" s="1">
        <v>38</v>
      </c>
      <c r="B40" s="48"/>
      <c r="C40" s="33" t="s">
        <v>183</v>
      </c>
      <c r="D40" s="5" t="s">
        <v>184</v>
      </c>
      <c r="E40" s="5" t="s">
        <v>22</v>
      </c>
      <c r="F40" s="5" t="s">
        <v>185</v>
      </c>
      <c r="G40" s="6" t="s">
        <v>383</v>
      </c>
      <c r="H40" s="17" t="s">
        <v>392</v>
      </c>
      <c r="I40" s="5" t="s">
        <v>256</v>
      </c>
      <c r="J40" s="34" t="s">
        <v>373</v>
      </c>
      <c r="K40" s="9">
        <v>3</v>
      </c>
      <c r="L40" s="9">
        <f t="shared" si="0"/>
        <v>18</v>
      </c>
      <c r="M40" s="56">
        <v>0.1</v>
      </c>
      <c r="N40" s="24">
        <f t="shared" si="1"/>
        <v>0.30000000000000004</v>
      </c>
      <c r="O40" s="56">
        <v>3.5999999999999997E-2</v>
      </c>
      <c r="P40" s="24">
        <f t="shared" si="2"/>
        <v>0.64799999999999991</v>
      </c>
      <c r="Q40" s="13"/>
    </row>
    <row r="41" spans="1:17" ht="51.75" thickBot="1" x14ac:dyDescent="0.3">
      <c r="A41" s="1">
        <v>39</v>
      </c>
      <c r="B41" s="48"/>
      <c r="C41" s="33" t="s">
        <v>186</v>
      </c>
      <c r="D41" s="5" t="s">
        <v>187</v>
      </c>
      <c r="E41" s="5" t="s">
        <v>22</v>
      </c>
      <c r="F41" s="5" t="s">
        <v>188</v>
      </c>
      <c r="G41" s="6" t="s">
        <v>383</v>
      </c>
      <c r="H41" s="16" t="s">
        <v>392</v>
      </c>
      <c r="I41" s="5" t="s">
        <v>21</v>
      </c>
      <c r="J41" s="34" t="s">
        <v>373</v>
      </c>
      <c r="K41" s="9">
        <v>21</v>
      </c>
      <c r="L41" s="9">
        <f t="shared" si="0"/>
        <v>126</v>
      </c>
      <c r="M41" s="56">
        <v>0.1</v>
      </c>
      <c r="N41" s="24">
        <f t="shared" si="1"/>
        <v>2.1</v>
      </c>
      <c r="O41" s="56">
        <v>4.2000000000000003E-2</v>
      </c>
      <c r="P41" s="24">
        <f t="shared" si="2"/>
        <v>5.2920000000000007</v>
      </c>
      <c r="Q41" s="13"/>
    </row>
    <row r="42" spans="1:17" ht="15.75" thickBot="1" x14ac:dyDescent="0.3">
      <c r="A42" s="1">
        <v>40</v>
      </c>
      <c r="B42" s="48"/>
      <c r="C42" s="33" t="s">
        <v>189</v>
      </c>
      <c r="D42" s="5" t="s">
        <v>190</v>
      </c>
      <c r="E42" s="5" t="s">
        <v>22</v>
      </c>
      <c r="F42" s="5" t="s">
        <v>191</v>
      </c>
      <c r="G42" s="7" t="s">
        <v>383</v>
      </c>
      <c r="H42" s="16" t="s">
        <v>392</v>
      </c>
      <c r="I42" s="5" t="s">
        <v>257</v>
      </c>
      <c r="J42" s="34" t="s">
        <v>373</v>
      </c>
      <c r="K42" s="9">
        <v>5</v>
      </c>
      <c r="L42" s="9">
        <f t="shared" si="0"/>
        <v>30</v>
      </c>
      <c r="M42" s="56">
        <v>0.1</v>
      </c>
      <c r="N42" s="24">
        <f t="shared" si="1"/>
        <v>0.5</v>
      </c>
      <c r="O42" s="56">
        <v>2.9000000000000001E-2</v>
      </c>
      <c r="P42" s="24">
        <f t="shared" si="2"/>
        <v>0.87</v>
      </c>
      <c r="Q42" s="13"/>
    </row>
    <row r="43" spans="1:17" ht="26.25" thickBot="1" x14ac:dyDescent="0.3">
      <c r="A43" s="1">
        <v>41</v>
      </c>
      <c r="B43" s="48"/>
      <c r="C43" s="33" t="s">
        <v>192</v>
      </c>
      <c r="D43" s="5" t="s">
        <v>193</v>
      </c>
      <c r="E43" s="5" t="s">
        <v>22</v>
      </c>
      <c r="F43" s="5" t="s">
        <v>194</v>
      </c>
      <c r="G43" s="7" t="s">
        <v>383</v>
      </c>
      <c r="H43" s="16" t="s">
        <v>392</v>
      </c>
      <c r="I43" s="5" t="s">
        <v>258</v>
      </c>
      <c r="J43" s="34" t="s">
        <v>373</v>
      </c>
      <c r="K43" s="9">
        <v>7</v>
      </c>
      <c r="L43" s="9">
        <f t="shared" si="0"/>
        <v>42</v>
      </c>
      <c r="M43" s="56">
        <v>0.1</v>
      </c>
      <c r="N43" s="24">
        <f t="shared" si="1"/>
        <v>0.70000000000000007</v>
      </c>
      <c r="O43" s="56">
        <v>2.9000000000000001E-2</v>
      </c>
      <c r="P43" s="24">
        <f t="shared" si="2"/>
        <v>1.218</v>
      </c>
      <c r="Q43" s="13"/>
    </row>
    <row r="44" spans="1:17" ht="15.75" thickBot="1" x14ac:dyDescent="0.3">
      <c r="A44" s="1">
        <v>42</v>
      </c>
      <c r="B44" s="48"/>
      <c r="C44" s="33" t="s">
        <v>195</v>
      </c>
      <c r="D44" s="5" t="s">
        <v>196</v>
      </c>
      <c r="E44" s="5" t="s">
        <v>22</v>
      </c>
      <c r="F44" s="5" t="s">
        <v>197</v>
      </c>
      <c r="G44" s="7" t="s">
        <v>404</v>
      </c>
      <c r="H44" s="16" t="s">
        <v>392</v>
      </c>
      <c r="I44" s="5" t="s">
        <v>259</v>
      </c>
      <c r="J44" s="34" t="s">
        <v>373</v>
      </c>
      <c r="K44" s="9">
        <v>2</v>
      </c>
      <c r="L44" s="9">
        <f t="shared" si="0"/>
        <v>12</v>
      </c>
      <c r="M44" s="56">
        <v>0.1</v>
      </c>
      <c r="N44" s="24">
        <f t="shared" si="1"/>
        <v>0.2</v>
      </c>
      <c r="O44" s="56">
        <v>2.7E-2</v>
      </c>
      <c r="P44" s="24">
        <f t="shared" si="2"/>
        <v>0.32400000000000001</v>
      </c>
      <c r="Q44" s="13"/>
    </row>
    <row r="45" spans="1:17" ht="15.75" thickBot="1" x14ac:dyDescent="0.3">
      <c r="A45" s="1">
        <v>43</v>
      </c>
      <c r="B45" s="48"/>
      <c r="C45" s="33" t="s">
        <v>198</v>
      </c>
      <c r="D45" s="5" t="s">
        <v>199</v>
      </c>
      <c r="E45" s="5" t="s">
        <v>22</v>
      </c>
      <c r="F45" s="5" t="s">
        <v>200</v>
      </c>
      <c r="G45" s="7" t="s">
        <v>405</v>
      </c>
      <c r="H45" s="16" t="s">
        <v>392</v>
      </c>
      <c r="I45" s="5" t="s">
        <v>260</v>
      </c>
      <c r="J45" s="34" t="s">
        <v>406</v>
      </c>
      <c r="K45" s="9">
        <v>1</v>
      </c>
      <c r="L45" s="9">
        <f t="shared" si="0"/>
        <v>6</v>
      </c>
      <c r="M45" s="56">
        <v>0.1</v>
      </c>
      <c r="N45" s="24">
        <f t="shared" si="1"/>
        <v>0.1</v>
      </c>
      <c r="O45" s="56">
        <v>0.1</v>
      </c>
      <c r="P45" s="24">
        <f t="shared" si="2"/>
        <v>0.60000000000000009</v>
      </c>
      <c r="Q45" s="13"/>
    </row>
    <row r="46" spans="1:17" ht="15.75" thickBot="1" x14ac:dyDescent="0.3">
      <c r="A46" s="1">
        <v>44</v>
      </c>
      <c r="B46" s="48"/>
      <c r="C46" s="33" t="s">
        <v>201</v>
      </c>
      <c r="D46" s="5" t="s">
        <v>202</v>
      </c>
      <c r="E46" s="5" t="s">
        <v>22</v>
      </c>
      <c r="F46" s="5" t="s">
        <v>203</v>
      </c>
      <c r="G46" s="7" t="s">
        <v>383</v>
      </c>
      <c r="H46" s="16" t="s">
        <v>392</v>
      </c>
      <c r="I46" s="5" t="s">
        <v>261</v>
      </c>
      <c r="J46" s="34" t="s">
        <v>373</v>
      </c>
      <c r="K46" s="9">
        <v>2</v>
      </c>
      <c r="L46" s="9">
        <f t="shared" si="0"/>
        <v>12</v>
      </c>
      <c r="M46" s="56">
        <v>0.1</v>
      </c>
      <c r="N46" s="24">
        <f t="shared" si="1"/>
        <v>0.2</v>
      </c>
      <c r="O46" s="56">
        <v>6.6000000000000003E-2</v>
      </c>
      <c r="P46" s="24">
        <f t="shared" si="2"/>
        <v>0.79200000000000004</v>
      </c>
      <c r="Q46" s="13"/>
    </row>
    <row r="47" spans="1:17" ht="15.75" thickBot="1" x14ac:dyDescent="0.3">
      <c r="A47" s="1">
        <v>45</v>
      </c>
      <c r="B47" s="48"/>
      <c r="C47" s="33" t="s">
        <v>204</v>
      </c>
      <c r="D47" s="5" t="s">
        <v>205</v>
      </c>
      <c r="E47" s="5" t="s">
        <v>20</v>
      </c>
      <c r="F47" s="5" t="s">
        <v>206</v>
      </c>
      <c r="G47" s="7" t="s">
        <v>383</v>
      </c>
      <c r="H47" s="16" t="s">
        <v>392</v>
      </c>
      <c r="I47" s="5" t="s">
        <v>262</v>
      </c>
      <c r="J47" s="34" t="s">
        <v>373</v>
      </c>
      <c r="K47" s="9">
        <v>1</v>
      </c>
      <c r="L47" s="9">
        <f t="shared" si="0"/>
        <v>6</v>
      </c>
      <c r="M47" s="56">
        <v>0.1</v>
      </c>
      <c r="N47" s="24">
        <f t="shared" si="1"/>
        <v>0.1</v>
      </c>
      <c r="O47" s="56">
        <v>0.1</v>
      </c>
      <c r="P47" s="24">
        <f t="shared" si="2"/>
        <v>0.60000000000000009</v>
      </c>
      <c r="Q47" s="13"/>
    </row>
    <row r="48" spans="1:17" ht="15.75" thickBot="1" x14ac:dyDescent="0.3">
      <c r="A48" s="1">
        <v>46</v>
      </c>
      <c r="B48" s="48"/>
      <c r="C48" s="33" t="s">
        <v>207</v>
      </c>
      <c r="D48" s="5" t="s">
        <v>208</v>
      </c>
      <c r="E48" s="5" t="s">
        <v>22</v>
      </c>
      <c r="F48" s="5" t="s">
        <v>209</v>
      </c>
      <c r="G48" s="7" t="s">
        <v>383</v>
      </c>
      <c r="H48" s="16" t="s">
        <v>392</v>
      </c>
      <c r="I48" s="5" t="s">
        <v>24</v>
      </c>
      <c r="J48" s="34" t="s">
        <v>373</v>
      </c>
      <c r="K48" s="9">
        <v>2</v>
      </c>
      <c r="L48" s="9">
        <f t="shared" si="0"/>
        <v>12</v>
      </c>
      <c r="M48" s="56">
        <v>0.1</v>
      </c>
      <c r="N48" s="24">
        <f t="shared" si="1"/>
        <v>0.2</v>
      </c>
      <c r="O48" s="56">
        <v>2.9000000000000001E-2</v>
      </c>
      <c r="P48" s="24">
        <f t="shared" si="2"/>
        <v>0.34800000000000003</v>
      </c>
      <c r="Q48" s="13"/>
    </row>
    <row r="49" spans="1:17" ht="15.75" thickBot="1" x14ac:dyDescent="0.3">
      <c r="A49" s="1">
        <v>47</v>
      </c>
      <c r="B49" s="48"/>
      <c r="C49" s="33" t="s">
        <v>210</v>
      </c>
      <c r="D49" s="5" t="s">
        <v>211</v>
      </c>
      <c r="E49" s="5" t="s">
        <v>22</v>
      </c>
      <c r="F49" s="5" t="s">
        <v>212</v>
      </c>
      <c r="G49" s="7" t="s">
        <v>383</v>
      </c>
      <c r="H49" s="16" t="s">
        <v>392</v>
      </c>
      <c r="I49" s="5" t="s">
        <v>263</v>
      </c>
      <c r="J49" s="34" t="s">
        <v>373</v>
      </c>
      <c r="K49" s="9">
        <v>1</v>
      </c>
      <c r="L49" s="9">
        <f t="shared" si="0"/>
        <v>6</v>
      </c>
      <c r="M49" s="56">
        <v>0.1</v>
      </c>
      <c r="N49" s="24">
        <f t="shared" si="1"/>
        <v>0.1</v>
      </c>
      <c r="O49" s="56">
        <v>0.1</v>
      </c>
      <c r="P49" s="24">
        <f t="shared" si="2"/>
        <v>0.60000000000000009</v>
      </c>
      <c r="Q49" s="13"/>
    </row>
    <row r="50" spans="1:17" ht="15.75" thickBot="1" x14ac:dyDescent="0.3">
      <c r="A50" s="1">
        <v>48</v>
      </c>
      <c r="B50" s="48"/>
      <c r="C50" s="33" t="s">
        <v>213</v>
      </c>
      <c r="D50" s="5" t="s">
        <v>214</v>
      </c>
      <c r="E50" s="5" t="s">
        <v>20</v>
      </c>
      <c r="F50" s="5" t="s">
        <v>215</v>
      </c>
      <c r="G50" s="7" t="s">
        <v>407</v>
      </c>
      <c r="H50" s="16" t="s">
        <v>392</v>
      </c>
      <c r="I50" s="5" t="s">
        <v>264</v>
      </c>
      <c r="J50" s="34" t="s">
        <v>373</v>
      </c>
      <c r="K50" s="9">
        <v>1</v>
      </c>
      <c r="L50" s="9">
        <f t="shared" si="0"/>
        <v>6</v>
      </c>
      <c r="M50" s="56">
        <v>0.1</v>
      </c>
      <c r="N50" s="24">
        <f t="shared" si="1"/>
        <v>0.1</v>
      </c>
      <c r="O50" s="56">
        <v>0.1</v>
      </c>
      <c r="P50" s="24">
        <f t="shared" si="2"/>
        <v>0.60000000000000009</v>
      </c>
      <c r="Q50" s="13"/>
    </row>
    <row r="51" spans="1:17" ht="15.75" thickBot="1" x14ac:dyDescent="0.3">
      <c r="A51" s="1">
        <v>49</v>
      </c>
      <c r="B51" s="48"/>
      <c r="C51" s="33" t="s">
        <v>216</v>
      </c>
      <c r="D51" s="5" t="s">
        <v>217</v>
      </c>
      <c r="E51" s="5" t="s">
        <v>22</v>
      </c>
      <c r="F51" s="5" t="s">
        <v>218</v>
      </c>
      <c r="G51" s="7" t="s">
        <v>383</v>
      </c>
      <c r="H51" s="16" t="s">
        <v>392</v>
      </c>
      <c r="I51" s="5" t="s">
        <v>23</v>
      </c>
      <c r="J51" s="34" t="s">
        <v>373</v>
      </c>
      <c r="K51" s="9">
        <v>4</v>
      </c>
      <c r="L51" s="9">
        <f t="shared" si="0"/>
        <v>24</v>
      </c>
      <c r="M51" s="56">
        <v>0.1</v>
      </c>
      <c r="N51" s="24">
        <f t="shared" si="1"/>
        <v>0.4</v>
      </c>
      <c r="O51" s="56">
        <v>4.2000000000000003E-2</v>
      </c>
      <c r="P51" s="24">
        <f t="shared" si="2"/>
        <v>1.008</v>
      </c>
      <c r="Q51" s="13"/>
    </row>
    <row r="52" spans="1:17" ht="15.75" thickBot="1" x14ac:dyDescent="0.3">
      <c r="A52" s="1">
        <v>50</v>
      </c>
      <c r="B52" s="48"/>
      <c r="C52" s="33" t="s">
        <v>219</v>
      </c>
      <c r="D52" s="5" t="s">
        <v>220</v>
      </c>
      <c r="E52" s="5" t="s">
        <v>22</v>
      </c>
      <c r="F52" s="5" t="s">
        <v>221</v>
      </c>
      <c r="G52" s="7" t="s">
        <v>383</v>
      </c>
      <c r="H52" s="16" t="s">
        <v>392</v>
      </c>
      <c r="I52" s="5" t="s">
        <v>265</v>
      </c>
      <c r="J52" s="34" t="s">
        <v>373</v>
      </c>
      <c r="K52" s="9">
        <v>2</v>
      </c>
      <c r="L52" s="9">
        <f t="shared" si="0"/>
        <v>12</v>
      </c>
      <c r="M52" s="56">
        <v>0.1</v>
      </c>
      <c r="N52" s="24">
        <f t="shared" si="1"/>
        <v>0.2</v>
      </c>
      <c r="O52" s="56">
        <v>4.9000000000000002E-2</v>
      </c>
      <c r="P52" s="24">
        <f t="shared" si="2"/>
        <v>0.58800000000000008</v>
      </c>
      <c r="Q52" s="13"/>
    </row>
    <row r="53" spans="1:17" ht="15.75" thickBot="1" x14ac:dyDescent="0.3">
      <c r="A53" s="1">
        <v>51</v>
      </c>
      <c r="B53" s="48"/>
      <c r="C53" s="33" t="s">
        <v>409</v>
      </c>
      <c r="D53" s="5" t="s">
        <v>222</v>
      </c>
      <c r="E53" s="5" t="s">
        <v>20</v>
      </c>
      <c r="F53" s="5" t="s">
        <v>223</v>
      </c>
      <c r="G53" s="7" t="s">
        <v>408</v>
      </c>
      <c r="H53" s="16" t="s">
        <v>392</v>
      </c>
      <c r="I53" s="5" t="s">
        <v>266</v>
      </c>
      <c r="J53" s="34" t="s">
        <v>373</v>
      </c>
      <c r="K53" s="9">
        <v>1</v>
      </c>
      <c r="L53" s="9">
        <f t="shared" si="0"/>
        <v>6</v>
      </c>
      <c r="M53" s="56">
        <v>0.1</v>
      </c>
      <c r="N53" s="24">
        <f t="shared" si="1"/>
        <v>0.1</v>
      </c>
      <c r="O53" s="56">
        <v>0.1</v>
      </c>
      <c r="P53" s="24">
        <f t="shared" si="2"/>
        <v>0.60000000000000009</v>
      </c>
      <c r="Q53" s="13"/>
    </row>
    <row r="54" spans="1:17" ht="15.75" thickBot="1" x14ac:dyDescent="0.3">
      <c r="A54" s="1">
        <v>52</v>
      </c>
      <c r="B54" s="48"/>
      <c r="C54" s="33" t="s">
        <v>224</v>
      </c>
      <c r="D54" s="5" t="s">
        <v>225</v>
      </c>
      <c r="E54" s="5" t="s">
        <v>22</v>
      </c>
      <c r="F54" s="5" t="s">
        <v>226</v>
      </c>
      <c r="G54" s="7" t="s">
        <v>383</v>
      </c>
      <c r="H54" s="16" t="s">
        <v>392</v>
      </c>
      <c r="I54" s="5" t="s">
        <v>267</v>
      </c>
      <c r="J54" s="34" t="s">
        <v>373</v>
      </c>
      <c r="K54" s="9">
        <v>1</v>
      </c>
      <c r="L54" s="9">
        <f t="shared" si="0"/>
        <v>6</v>
      </c>
      <c r="M54" s="56">
        <v>0.1</v>
      </c>
      <c r="N54" s="24">
        <f t="shared" si="1"/>
        <v>0.1</v>
      </c>
      <c r="O54" s="56">
        <v>0.1</v>
      </c>
      <c r="P54" s="24">
        <f t="shared" si="2"/>
        <v>0.60000000000000009</v>
      </c>
      <c r="Q54" s="13"/>
    </row>
    <row r="55" spans="1:17" ht="15.75" thickBot="1" x14ac:dyDescent="0.3">
      <c r="A55" s="1">
        <v>53</v>
      </c>
      <c r="B55" s="48"/>
      <c r="C55" s="33" t="s">
        <v>227</v>
      </c>
      <c r="D55" s="5" t="s">
        <v>228</v>
      </c>
      <c r="E55" s="5" t="s">
        <v>411</v>
      </c>
      <c r="F55" s="5" t="s">
        <v>229</v>
      </c>
      <c r="G55" s="7" t="s">
        <v>410</v>
      </c>
      <c r="H55" s="16" t="s">
        <v>392</v>
      </c>
      <c r="I55" s="5" t="s">
        <v>257</v>
      </c>
      <c r="J55" s="34" t="s">
        <v>406</v>
      </c>
      <c r="K55" s="9">
        <v>1</v>
      </c>
      <c r="L55" s="9">
        <f t="shared" si="0"/>
        <v>6</v>
      </c>
      <c r="M55" s="56">
        <v>0.12</v>
      </c>
      <c r="N55" s="24">
        <f t="shared" si="1"/>
        <v>0.12</v>
      </c>
      <c r="O55" s="56">
        <v>0.12</v>
      </c>
      <c r="P55" s="24">
        <f t="shared" si="2"/>
        <v>0.72</v>
      </c>
      <c r="Q55" s="13"/>
    </row>
    <row r="56" spans="1:17" ht="15.75" thickBot="1" x14ac:dyDescent="0.3">
      <c r="A56" s="1">
        <v>54</v>
      </c>
      <c r="B56" s="48"/>
      <c r="C56" s="33" t="s">
        <v>230</v>
      </c>
      <c r="D56" s="5" t="s">
        <v>231</v>
      </c>
      <c r="E56" s="5" t="s">
        <v>22</v>
      </c>
      <c r="F56" s="5" t="s">
        <v>232</v>
      </c>
      <c r="G56" s="7" t="s">
        <v>383</v>
      </c>
      <c r="H56" s="16" t="s">
        <v>392</v>
      </c>
      <c r="I56" s="5" t="s">
        <v>268</v>
      </c>
      <c r="J56" s="34" t="s">
        <v>373</v>
      </c>
      <c r="K56" s="9">
        <v>1</v>
      </c>
      <c r="L56" s="9">
        <f t="shared" si="0"/>
        <v>6</v>
      </c>
      <c r="M56" s="56">
        <v>0.1</v>
      </c>
      <c r="N56" s="24">
        <f t="shared" si="1"/>
        <v>0.1</v>
      </c>
      <c r="O56" s="56">
        <v>0.1</v>
      </c>
      <c r="P56" s="24">
        <f t="shared" si="2"/>
        <v>0.60000000000000009</v>
      </c>
      <c r="Q56" s="13"/>
    </row>
    <row r="57" spans="1:17" ht="15.75" thickBot="1" x14ac:dyDescent="0.3">
      <c r="A57" s="1">
        <v>55</v>
      </c>
      <c r="B57" s="48"/>
      <c r="C57" s="33" t="s">
        <v>233</v>
      </c>
      <c r="D57" s="5" t="s">
        <v>234</v>
      </c>
      <c r="E57" s="5" t="s">
        <v>22</v>
      </c>
      <c r="F57" s="5" t="s">
        <v>235</v>
      </c>
      <c r="G57" s="7" t="s">
        <v>383</v>
      </c>
      <c r="H57" s="16" t="s">
        <v>392</v>
      </c>
      <c r="I57" s="5" t="s">
        <v>269</v>
      </c>
      <c r="J57" s="34" t="s">
        <v>373</v>
      </c>
      <c r="K57" s="9">
        <v>1</v>
      </c>
      <c r="L57" s="9">
        <f t="shared" si="0"/>
        <v>6</v>
      </c>
      <c r="M57" s="56">
        <v>0.1</v>
      </c>
      <c r="N57" s="24">
        <f t="shared" si="1"/>
        <v>0.1</v>
      </c>
      <c r="O57" s="56">
        <v>0.1</v>
      </c>
      <c r="P57" s="24">
        <f t="shared" si="2"/>
        <v>0.60000000000000009</v>
      </c>
      <c r="Q57" s="13"/>
    </row>
    <row r="58" spans="1:17" ht="15.75" thickBot="1" x14ac:dyDescent="0.3">
      <c r="A58" s="1">
        <v>56</v>
      </c>
      <c r="B58" s="48"/>
      <c r="C58" s="33" t="s">
        <v>236</v>
      </c>
      <c r="D58" s="5" t="s">
        <v>237</v>
      </c>
      <c r="E58" s="5" t="s">
        <v>22</v>
      </c>
      <c r="F58" s="5" t="s">
        <v>238</v>
      </c>
      <c r="G58" s="7" t="s">
        <v>383</v>
      </c>
      <c r="H58" s="16" t="s">
        <v>392</v>
      </c>
      <c r="I58" s="5" t="s">
        <v>270</v>
      </c>
      <c r="J58" s="34" t="s">
        <v>373</v>
      </c>
      <c r="K58" s="9">
        <v>1</v>
      </c>
      <c r="L58" s="9">
        <f t="shared" si="0"/>
        <v>6</v>
      </c>
      <c r="M58" s="56">
        <v>0.1</v>
      </c>
      <c r="N58" s="24">
        <f t="shared" si="1"/>
        <v>0.1</v>
      </c>
      <c r="O58" s="56">
        <v>0.1</v>
      </c>
      <c r="P58" s="24">
        <f t="shared" si="2"/>
        <v>0.60000000000000009</v>
      </c>
      <c r="Q58" s="13"/>
    </row>
    <row r="59" spans="1:17" ht="15.75" thickBot="1" x14ac:dyDescent="0.3">
      <c r="A59" s="1">
        <v>57</v>
      </c>
      <c r="B59" s="48"/>
      <c r="C59" s="33" t="s">
        <v>239</v>
      </c>
      <c r="D59" s="5" t="s">
        <v>240</v>
      </c>
      <c r="E59" s="5" t="s">
        <v>22</v>
      </c>
      <c r="F59" s="5" t="s">
        <v>241</v>
      </c>
      <c r="G59" s="7" t="s">
        <v>383</v>
      </c>
      <c r="H59" s="16" t="s">
        <v>392</v>
      </c>
      <c r="I59" s="5" t="s">
        <v>271</v>
      </c>
      <c r="J59" s="34" t="s">
        <v>373</v>
      </c>
      <c r="K59" s="9">
        <v>1</v>
      </c>
      <c r="L59" s="9">
        <f t="shared" si="0"/>
        <v>6</v>
      </c>
      <c r="M59" s="56">
        <v>0.1</v>
      </c>
      <c r="N59" s="24">
        <f t="shared" si="1"/>
        <v>0.1</v>
      </c>
      <c r="O59" s="56">
        <v>0.1</v>
      </c>
      <c r="P59" s="24">
        <f t="shared" si="2"/>
        <v>0.60000000000000009</v>
      </c>
      <c r="Q59" s="13"/>
    </row>
    <row r="60" spans="1:17" ht="15.75" thickBot="1" x14ac:dyDescent="0.3">
      <c r="A60" s="1">
        <v>58</v>
      </c>
      <c r="B60" s="48"/>
      <c r="C60" s="33" t="s">
        <v>242</v>
      </c>
      <c r="D60" s="5" t="s">
        <v>243</v>
      </c>
      <c r="E60" s="5" t="s">
        <v>22</v>
      </c>
      <c r="F60" s="5" t="s">
        <v>244</v>
      </c>
      <c r="G60" s="7" t="s">
        <v>412</v>
      </c>
      <c r="H60" s="16" t="s">
        <v>392</v>
      </c>
      <c r="I60" s="5" t="s">
        <v>272</v>
      </c>
      <c r="J60" s="34" t="s">
        <v>373</v>
      </c>
      <c r="K60" s="9">
        <v>4</v>
      </c>
      <c r="L60" s="9">
        <f t="shared" si="0"/>
        <v>24</v>
      </c>
      <c r="M60" s="56">
        <v>0.4</v>
      </c>
      <c r="N60" s="24">
        <f t="shared" si="1"/>
        <v>1.6</v>
      </c>
      <c r="O60" s="56">
        <v>0.30399999999999999</v>
      </c>
      <c r="P60" s="24">
        <f t="shared" si="2"/>
        <v>7.2959999999999994</v>
      </c>
      <c r="Q60" s="13"/>
    </row>
    <row r="61" spans="1:17" ht="15.75" thickBot="1" x14ac:dyDescent="0.3">
      <c r="A61" s="1">
        <v>59</v>
      </c>
      <c r="B61" s="48"/>
      <c r="C61" s="33" t="s">
        <v>245</v>
      </c>
      <c r="D61" s="5" t="s">
        <v>246</v>
      </c>
      <c r="E61" s="5" t="s">
        <v>22</v>
      </c>
      <c r="F61" s="5" t="s">
        <v>247</v>
      </c>
      <c r="G61" s="7" t="s">
        <v>404</v>
      </c>
      <c r="H61" s="16" t="s">
        <v>392</v>
      </c>
      <c r="I61" s="5" t="s">
        <v>273</v>
      </c>
      <c r="J61" s="34" t="s">
        <v>373</v>
      </c>
      <c r="K61" s="9">
        <v>1</v>
      </c>
      <c r="L61" s="9">
        <f t="shared" si="0"/>
        <v>6</v>
      </c>
      <c r="M61" s="56">
        <v>0.1</v>
      </c>
      <c r="N61" s="24">
        <f t="shared" si="1"/>
        <v>0.1</v>
      </c>
      <c r="O61" s="56">
        <v>0.1</v>
      </c>
      <c r="P61" s="24">
        <f t="shared" si="2"/>
        <v>0.60000000000000009</v>
      </c>
      <c r="Q61" s="13"/>
    </row>
    <row r="62" spans="1:17" ht="15.75" thickBot="1" x14ac:dyDescent="0.3">
      <c r="A62" s="1">
        <v>60</v>
      </c>
      <c r="B62" s="48"/>
      <c r="C62" s="33" t="s">
        <v>248</v>
      </c>
      <c r="D62" s="5" t="s">
        <v>249</v>
      </c>
      <c r="E62" s="5" t="s">
        <v>22</v>
      </c>
      <c r="F62" s="5" t="s">
        <v>250</v>
      </c>
      <c r="G62" s="7" t="s">
        <v>383</v>
      </c>
      <c r="H62" s="16" t="s">
        <v>392</v>
      </c>
      <c r="I62" s="5" t="s">
        <v>274</v>
      </c>
      <c r="J62" s="34" t="s">
        <v>373</v>
      </c>
      <c r="K62" s="9">
        <v>1</v>
      </c>
      <c r="L62" s="9">
        <f t="shared" si="0"/>
        <v>6</v>
      </c>
      <c r="M62" s="56">
        <v>0.1</v>
      </c>
      <c r="N62" s="24">
        <f t="shared" si="1"/>
        <v>0.1</v>
      </c>
      <c r="O62" s="56">
        <v>0.1</v>
      </c>
      <c r="P62" s="24">
        <f t="shared" si="2"/>
        <v>0.60000000000000009</v>
      </c>
      <c r="Q62" s="13"/>
    </row>
    <row r="63" spans="1:17" ht="15.75" thickBot="1" x14ac:dyDescent="0.3">
      <c r="A63" s="1">
        <v>61</v>
      </c>
      <c r="B63" s="49"/>
      <c r="C63" s="35" t="s">
        <v>251</v>
      </c>
      <c r="D63" s="36" t="s">
        <v>252</v>
      </c>
      <c r="E63" s="36" t="s">
        <v>22</v>
      </c>
      <c r="F63" s="36" t="s">
        <v>253</v>
      </c>
      <c r="G63" s="67" t="s">
        <v>383</v>
      </c>
      <c r="H63" s="68" t="s">
        <v>392</v>
      </c>
      <c r="I63" s="36" t="s">
        <v>275</v>
      </c>
      <c r="J63" s="37" t="s">
        <v>373</v>
      </c>
      <c r="K63" s="69">
        <v>1</v>
      </c>
      <c r="L63" s="28">
        <f t="shared" si="0"/>
        <v>6</v>
      </c>
      <c r="M63" s="60">
        <v>0.1</v>
      </c>
      <c r="N63" s="29">
        <f t="shared" si="1"/>
        <v>0.1</v>
      </c>
      <c r="O63" s="60">
        <v>0.1</v>
      </c>
      <c r="P63" s="29">
        <f t="shared" si="2"/>
        <v>0.60000000000000009</v>
      </c>
      <c r="Q63" s="14"/>
    </row>
    <row r="64" spans="1:17" ht="26.25" thickBot="1" x14ac:dyDescent="0.3">
      <c r="A64" s="1">
        <v>62</v>
      </c>
      <c r="B64" s="47" t="s">
        <v>438</v>
      </c>
      <c r="C64" s="30" t="s">
        <v>276</v>
      </c>
      <c r="D64" s="31" t="s">
        <v>25</v>
      </c>
      <c r="E64" s="31" t="s">
        <v>277</v>
      </c>
      <c r="F64" s="31" t="s">
        <v>278</v>
      </c>
      <c r="G64" s="96" t="s">
        <v>413</v>
      </c>
      <c r="H64" s="97" t="s">
        <v>392</v>
      </c>
      <c r="I64" s="4" t="s">
        <v>414</v>
      </c>
      <c r="J64" s="98"/>
      <c r="K64" s="99">
        <v>1</v>
      </c>
      <c r="L64" s="25">
        <f t="shared" si="0"/>
        <v>6</v>
      </c>
      <c r="M64" s="58">
        <v>10.4655</v>
      </c>
      <c r="N64" s="26">
        <f t="shared" si="1"/>
        <v>10.4655</v>
      </c>
      <c r="O64" s="58">
        <v>10.4655</v>
      </c>
      <c r="P64" s="26">
        <f t="shared" si="2"/>
        <v>62.793000000000006</v>
      </c>
      <c r="Q64" s="62"/>
    </row>
    <row r="65" spans="1:17" ht="15.75" thickBot="1" x14ac:dyDescent="0.3">
      <c r="A65" s="1">
        <v>63</v>
      </c>
      <c r="B65" s="48"/>
      <c r="C65" s="33" t="s">
        <v>279</v>
      </c>
      <c r="D65" s="5" t="s">
        <v>280</v>
      </c>
      <c r="E65" s="5" t="s">
        <v>18</v>
      </c>
      <c r="F65" s="5" t="s">
        <v>281</v>
      </c>
      <c r="G65" s="7" t="s">
        <v>415</v>
      </c>
      <c r="H65" s="16" t="s">
        <v>392</v>
      </c>
      <c r="I65" s="6" t="s">
        <v>414</v>
      </c>
      <c r="J65" s="55" t="s">
        <v>373</v>
      </c>
      <c r="K65" s="40">
        <v>2</v>
      </c>
      <c r="L65" s="9">
        <f t="shared" si="0"/>
        <v>12</v>
      </c>
      <c r="M65" s="56">
        <v>0.37657000000000002</v>
      </c>
      <c r="N65" s="24">
        <f t="shared" si="1"/>
        <v>0.75314000000000003</v>
      </c>
      <c r="O65" s="56">
        <v>0.37657000000000002</v>
      </c>
      <c r="P65" s="24">
        <f t="shared" si="2"/>
        <v>4.51884</v>
      </c>
      <c r="Q65" s="13"/>
    </row>
    <row r="66" spans="1:17" ht="15.75" thickBot="1" x14ac:dyDescent="0.3">
      <c r="A66" s="1">
        <v>64</v>
      </c>
      <c r="B66" s="48"/>
      <c r="C66" s="33" t="s">
        <v>282</v>
      </c>
      <c r="D66" s="5" t="s">
        <v>27</v>
      </c>
      <c r="E66" s="5"/>
      <c r="F66" s="5" t="s">
        <v>283</v>
      </c>
      <c r="G66" s="7"/>
      <c r="H66" s="39"/>
      <c r="I66" s="6" t="s">
        <v>414</v>
      </c>
      <c r="J66" s="22"/>
      <c r="K66" s="40">
        <v>1</v>
      </c>
      <c r="L66" s="9">
        <f t="shared" si="0"/>
        <v>6</v>
      </c>
      <c r="M66" s="56"/>
      <c r="N66" s="24">
        <f t="shared" si="1"/>
        <v>0</v>
      </c>
      <c r="O66" s="56"/>
      <c r="P66" s="24">
        <f t="shared" si="2"/>
        <v>0</v>
      </c>
      <c r="Q66" s="13"/>
    </row>
    <row r="67" spans="1:17" ht="15.75" thickBot="1" x14ac:dyDescent="0.3">
      <c r="A67" s="1">
        <v>65</v>
      </c>
      <c r="B67" s="48"/>
      <c r="C67" s="33" t="s">
        <v>284</v>
      </c>
      <c r="D67" s="5" t="s">
        <v>28</v>
      </c>
      <c r="E67" s="5"/>
      <c r="F67" s="5" t="s">
        <v>285</v>
      </c>
      <c r="G67" s="7"/>
      <c r="H67" s="39"/>
      <c r="I67" s="6" t="s">
        <v>414</v>
      </c>
      <c r="J67" s="22"/>
      <c r="K67" s="40">
        <v>1</v>
      </c>
      <c r="L67" s="9">
        <f t="shared" si="0"/>
        <v>6</v>
      </c>
      <c r="M67" s="56"/>
      <c r="N67" s="24">
        <f t="shared" si="1"/>
        <v>0</v>
      </c>
      <c r="O67" s="56"/>
      <c r="P67" s="24">
        <f t="shared" si="2"/>
        <v>0</v>
      </c>
      <c r="Q67" s="13"/>
    </row>
    <row r="68" spans="1:17" ht="15.75" thickBot="1" x14ac:dyDescent="0.3">
      <c r="A68" s="1">
        <v>66</v>
      </c>
      <c r="B68" s="48"/>
      <c r="C68" s="33" t="s">
        <v>286</v>
      </c>
      <c r="D68" s="5" t="s">
        <v>30</v>
      </c>
      <c r="E68" s="5" t="s">
        <v>29</v>
      </c>
      <c r="F68" s="5" t="s">
        <v>287</v>
      </c>
      <c r="G68" s="9" t="s">
        <v>416</v>
      </c>
      <c r="H68" s="16" t="s">
        <v>392</v>
      </c>
      <c r="I68" s="6" t="s">
        <v>414</v>
      </c>
      <c r="J68" s="55" t="s">
        <v>373</v>
      </c>
      <c r="K68" s="40">
        <v>1</v>
      </c>
      <c r="L68" s="9">
        <f t="shared" ref="L68:L95" si="3">K68*6</f>
        <v>6</v>
      </c>
      <c r="M68" s="56">
        <v>11.52</v>
      </c>
      <c r="N68" s="24">
        <f t="shared" ref="N68:N95" si="4">M68*K68</f>
        <v>11.52</v>
      </c>
      <c r="O68" s="56">
        <v>11.52</v>
      </c>
      <c r="P68" s="24">
        <f t="shared" ref="P68:P95" si="5">O68*L68</f>
        <v>69.12</v>
      </c>
      <c r="Q68" s="13"/>
    </row>
    <row r="69" spans="1:17" ht="15.75" customHeight="1" thickBot="1" x14ac:dyDescent="0.3">
      <c r="A69" s="1">
        <v>67</v>
      </c>
      <c r="B69" s="48"/>
      <c r="C69" s="33" t="s">
        <v>288</v>
      </c>
      <c r="D69" s="5" t="s">
        <v>289</v>
      </c>
      <c r="E69" s="5" t="s">
        <v>290</v>
      </c>
      <c r="F69" s="5" t="s">
        <v>291</v>
      </c>
      <c r="G69" s="9" t="s">
        <v>417</v>
      </c>
      <c r="H69" s="16" t="s">
        <v>392</v>
      </c>
      <c r="I69" s="6" t="s">
        <v>414</v>
      </c>
      <c r="J69" s="55" t="s">
        <v>373</v>
      </c>
      <c r="K69" s="40">
        <v>1</v>
      </c>
      <c r="L69" s="9">
        <f t="shared" si="3"/>
        <v>6</v>
      </c>
      <c r="M69" s="56">
        <v>2.42</v>
      </c>
      <c r="N69" s="24">
        <f t="shared" si="4"/>
        <v>2.42</v>
      </c>
      <c r="O69" s="56">
        <v>2.42</v>
      </c>
      <c r="P69" s="24">
        <f t="shared" si="5"/>
        <v>14.52</v>
      </c>
      <c r="Q69" s="13"/>
    </row>
    <row r="70" spans="1:17" ht="15.75" thickBot="1" x14ac:dyDescent="0.3">
      <c r="A70" s="1">
        <v>68</v>
      </c>
      <c r="B70" s="48"/>
      <c r="C70" s="33" t="s">
        <v>292</v>
      </c>
      <c r="D70" s="5" t="s">
        <v>293</v>
      </c>
      <c r="E70" s="5"/>
      <c r="F70" s="5" t="s">
        <v>294</v>
      </c>
      <c r="G70" s="7"/>
      <c r="H70" s="39"/>
      <c r="I70" s="22"/>
      <c r="J70" s="22"/>
      <c r="K70" s="40">
        <v>1</v>
      </c>
      <c r="L70" s="9">
        <f t="shared" si="3"/>
        <v>6</v>
      </c>
      <c r="M70" s="56"/>
      <c r="N70" s="24">
        <f t="shared" si="4"/>
        <v>0</v>
      </c>
      <c r="O70" s="56"/>
      <c r="P70" s="24">
        <f t="shared" si="5"/>
        <v>0</v>
      </c>
      <c r="Q70" s="13"/>
    </row>
    <row r="71" spans="1:17" ht="15.75" thickBot="1" x14ac:dyDescent="0.3">
      <c r="A71" s="1">
        <v>69</v>
      </c>
      <c r="B71" s="48"/>
      <c r="C71" s="33" t="s">
        <v>295</v>
      </c>
      <c r="D71" s="5" t="s">
        <v>296</v>
      </c>
      <c r="E71" s="5" t="s">
        <v>297</v>
      </c>
      <c r="F71" s="5" t="s">
        <v>298</v>
      </c>
      <c r="G71" s="7" t="s">
        <v>418</v>
      </c>
      <c r="H71" s="16" t="s">
        <v>392</v>
      </c>
      <c r="I71" s="6" t="s">
        <v>414</v>
      </c>
      <c r="J71" s="55" t="s">
        <v>373</v>
      </c>
      <c r="K71" s="40">
        <v>1</v>
      </c>
      <c r="L71" s="9">
        <f t="shared" si="3"/>
        <v>6</v>
      </c>
      <c r="M71" s="56">
        <v>1.61</v>
      </c>
      <c r="N71" s="24">
        <f t="shared" si="4"/>
        <v>1.61</v>
      </c>
      <c r="O71" s="56">
        <v>1.61</v>
      </c>
      <c r="P71" s="24">
        <f t="shared" si="5"/>
        <v>9.66</v>
      </c>
      <c r="Q71" s="13"/>
    </row>
    <row r="72" spans="1:17" ht="15.75" thickBot="1" x14ac:dyDescent="0.3">
      <c r="A72" s="1">
        <v>70</v>
      </c>
      <c r="B72" s="48"/>
      <c r="C72" s="33" t="s">
        <v>299</v>
      </c>
      <c r="D72" s="5" t="s">
        <v>31</v>
      </c>
      <c r="E72" s="5" t="s">
        <v>300</v>
      </c>
      <c r="F72" s="5" t="s">
        <v>301</v>
      </c>
      <c r="G72" s="7" t="s">
        <v>419</v>
      </c>
      <c r="H72" s="16" t="s">
        <v>392</v>
      </c>
      <c r="I72" s="6" t="s">
        <v>414</v>
      </c>
      <c r="J72" s="22"/>
      <c r="K72" s="40">
        <v>1</v>
      </c>
      <c r="L72" s="9">
        <f t="shared" si="3"/>
        <v>6</v>
      </c>
      <c r="M72" s="56">
        <v>0.47</v>
      </c>
      <c r="N72" s="24">
        <f t="shared" si="4"/>
        <v>0.47</v>
      </c>
      <c r="O72" s="56">
        <v>0.47</v>
      </c>
      <c r="P72" s="24">
        <f t="shared" si="5"/>
        <v>2.82</v>
      </c>
      <c r="Q72" s="13"/>
    </row>
    <row r="73" spans="1:17" ht="15.75" thickBot="1" x14ac:dyDescent="0.3">
      <c r="A73" s="1">
        <v>71</v>
      </c>
      <c r="B73" s="48"/>
      <c r="C73" s="33" t="s">
        <v>302</v>
      </c>
      <c r="D73" s="5" t="s">
        <v>32</v>
      </c>
      <c r="E73" s="5" t="s">
        <v>303</v>
      </c>
      <c r="F73" s="5" t="s">
        <v>304</v>
      </c>
      <c r="G73" s="7" t="s">
        <v>420</v>
      </c>
      <c r="H73" s="16" t="s">
        <v>392</v>
      </c>
      <c r="I73" s="6" t="s">
        <v>414</v>
      </c>
      <c r="J73" s="22"/>
      <c r="K73" s="40">
        <v>1</v>
      </c>
      <c r="L73" s="9">
        <f t="shared" si="3"/>
        <v>6</v>
      </c>
      <c r="M73" s="56">
        <v>1.2</v>
      </c>
      <c r="N73" s="24">
        <f t="shared" si="4"/>
        <v>1.2</v>
      </c>
      <c r="O73" s="56">
        <v>1.2</v>
      </c>
      <c r="P73" s="24">
        <f t="shared" si="5"/>
        <v>7.1999999999999993</v>
      </c>
      <c r="Q73" s="13"/>
    </row>
    <row r="74" spans="1:17" ht="15.75" thickBot="1" x14ac:dyDescent="0.3">
      <c r="A74" s="1">
        <v>72</v>
      </c>
      <c r="B74" s="48"/>
      <c r="C74" s="33" t="s">
        <v>305</v>
      </c>
      <c r="D74" s="5" t="s">
        <v>306</v>
      </c>
      <c r="E74" s="5" t="s">
        <v>307</v>
      </c>
      <c r="F74" s="5" t="s">
        <v>308</v>
      </c>
      <c r="G74" s="7" t="s">
        <v>421</v>
      </c>
      <c r="H74" s="16" t="s">
        <v>392</v>
      </c>
      <c r="I74" s="6" t="s">
        <v>414</v>
      </c>
      <c r="J74" s="55" t="s">
        <v>373</v>
      </c>
      <c r="K74" s="40">
        <v>1</v>
      </c>
      <c r="L74" s="9">
        <f t="shared" si="3"/>
        <v>6</v>
      </c>
      <c r="M74" s="56">
        <v>1.75</v>
      </c>
      <c r="N74" s="24">
        <f t="shared" si="4"/>
        <v>1.75</v>
      </c>
      <c r="O74" s="56">
        <v>1.75</v>
      </c>
      <c r="P74" s="24">
        <f t="shared" si="5"/>
        <v>10.5</v>
      </c>
      <c r="Q74" s="13"/>
    </row>
    <row r="75" spans="1:17" ht="15.75" thickBot="1" x14ac:dyDescent="0.3">
      <c r="A75" s="1">
        <v>73</v>
      </c>
      <c r="B75" s="48"/>
      <c r="C75" s="33" t="s">
        <v>309</v>
      </c>
      <c r="D75" s="5" t="s">
        <v>310</v>
      </c>
      <c r="E75" s="5" t="s">
        <v>311</v>
      </c>
      <c r="F75" s="5" t="s">
        <v>312</v>
      </c>
      <c r="G75" s="7"/>
      <c r="H75" s="39"/>
      <c r="I75" s="22"/>
      <c r="J75" s="22"/>
      <c r="K75" s="40">
        <v>1</v>
      </c>
      <c r="L75" s="9">
        <f t="shared" si="3"/>
        <v>6</v>
      </c>
      <c r="M75" s="56"/>
      <c r="N75" s="24">
        <f t="shared" si="4"/>
        <v>0</v>
      </c>
      <c r="O75" s="56"/>
      <c r="P75" s="24">
        <f t="shared" si="5"/>
        <v>0</v>
      </c>
      <c r="Q75" s="13"/>
    </row>
    <row r="76" spans="1:17" ht="15.75" thickBot="1" x14ac:dyDescent="0.3">
      <c r="A76" s="1">
        <v>74</v>
      </c>
      <c r="B76" s="48"/>
      <c r="C76" s="33" t="s">
        <v>313</v>
      </c>
      <c r="D76" s="5" t="s">
        <v>314</v>
      </c>
      <c r="E76" s="5" t="s">
        <v>315</v>
      </c>
      <c r="F76" s="5" t="s">
        <v>316</v>
      </c>
      <c r="G76" s="7" t="s">
        <v>422</v>
      </c>
      <c r="H76" s="16" t="s">
        <v>392</v>
      </c>
      <c r="I76" s="6" t="s">
        <v>414</v>
      </c>
      <c r="J76" s="55" t="s">
        <v>373</v>
      </c>
      <c r="K76" s="40">
        <v>1</v>
      </c>
      <c r="L76" s="9">
        <f t="shared" si="3"/>
        <v>6</v>
      </c>
      <c r="M76" s="56">
        <v>1.97</v>
      </c>
      <c r="N76" s="24">
        <f t="shared" si="4"/>
        <v>1.97</v>
      </c>
      <c r="O76" s="56">
        <v>1.97</v>
      </c>
      <c r="P76" s="24">
        <f t="shared" si="5"/>
        <v>11.82</v>
      </c>
      <c r="Q76" s="13"/>
    </row>
    <row r="77" spans="1:17" ht="15.75" thickBot="1" x14ac:dyDescent="0.3">
      <c r="A77" s="1">
        <v>75</v>
      </c>
      <c r="B77" s="49"/>
      <c r="C77" s="35" t="s">
        <v>317</v>
      </c>
      <c r="D77" s="36" t="s">
        <v>318</v>
      </c>
      <c r="E77" s="36" t="s">
        <v>424</v>
      </c>
      <c r="F77" s="36" t="s">
        <v>319</v>
      </c>
      <c r="G77" s="67" t="s">
        <v>423</v>
      </c>
      <c r="H77" s="68" t="s">
        <v>392</v>
      </c>
      <c r="I77" s="8" t="s">
        <v>414</v>
      </c>
      <c r="J77" s="100" t="s">
        <v>373</v>
      </c>
      <c r="K77" s="69">
        <v>1</v>
      </c>
      <c r="L77" s="28">
        <f t="shared" si="3"/>
        <v>6</v>
      </c>
      <c r="M77" s="60">
        <v>6.58</v>
      </c>
      <c r="N77" s="29">
        <f t="shared" si="4"/>
        <v>6.58</v>
      </c>
      <c r="O77" s="60">
        <v>6.58</v>
      </c>
      <c r="P77" s="29">
        <f t="shared" si="5"/>
        <v>39.480000000000004</v>
      </c>
      <c r="Q77" s="14"/>
    </row>
    <row r="78" spans="1:17" ht="15.75" thickBot="1" x14ac:dyDescent="0.3">
      <c r="A78" s="1">
        <v>76</v>
      </c>
      <c r="B78" s="74" t="s">
        <v>439</v>
      </c>
      <c r="C78" s="107" t="s">
        <v>320</v>
      </c>
      <c r="D78" s="84" t="s">
        <v>33</v>
      </c>
      <c r="E78" s="84" t="s">
        <v>411</v>
      </c>
      <c r="F78" s="84" t="s">
        <v>321</v>
      </c>
      <c r="G78" s="108" t="s">
        <v>425</v>
      </c>
      <c r="H78" s="109" t="s">
        <v>392</v>
      </c>
      <c r="I78" s="85" t="s">
        <v>414</v>
      </c>
      <c r="J78" s="110" t="s">
        <v>373</v>
      </c>
      <c r="K78" s="111">
        <v>1</v>
      </c>
      <c r="L78" s="88">
        <f t="shared" si="3"/>
        <v>6</v>
      </c>
      <c r="M78" s="89">
        <v>1.17</v>
      </c>
      <c r="N78" s="90">
        <f t="shared" si="4"/>
        <v>1.17</v>
      </c>
      <c r="O78" s="89">
        <v>1.17</v>
      </c>
      <c r="P78" s="90">
        <f t="shared" si="5"/>
        <v>7.02</v>
      </c>
      <c r="Q78" s="112"/>
    </row>
    <row r="79" spans="1:17" ht="15.75" thickBot="1" x14ac:dyDescent="0.3">
      <c r="A79" s="1">
        <v>77</v>
      </c>
      <c r="B79" s="21" t="s">
        <v>440</v>
      </c>
      <c r="C79" s="75" t="s">
        <v>322</v>
      </c>
      <c r="D79" s="76" t="s">
        <v>323</v>
      </c>
      <c r="E79" s="76" t="s">
        <v>411</v>
      </c>
      <c r="F79" s="76" t="s">
        <v>324</v>
      </c>
      <c r="G79" s="103" t="s">
        <v>426</v>
      </c>
      <c r="H79" s="104" t="s">
        <v>392</v>
      </c>
      <c r="I79" s="77" t="s">
        <v>414</v>
      </c>
      <c r="J79" s="105" t="s">
        <v>373</v>
      </c>
      <c r="K79" s="106">
        <v>4</v>
      </c>
      <c r="L79" s="80">
        <f t="shared" si="3"/>
        <v>24</v>
      </c>
      <c r="M79" s="81">
        <v>0.3</v>
      </c>
      <c r="N79" s="82">
        <f t="shared" si="4"/>
        <v>1.2</v>
      </c>
      <c r="O79" s="81">
        <v>0.29499999999999998</v>
      </c>
      <c r="P79" s="82">
        <f t="shared" si="5"/>
        <v>7.08</v>
      </c>
      <c r="Q79" s="116"/>
    </row>
    <row r="80" spans="1:17" ht="15.75" thickBot="1" x14ac:dyDescent="0.3">
      <c r="A80" s="1">
        <v>78</v>
      </c>
      <c r="B80" s="47" t="s">
        <v>441</v>
      </c>
      <c r="C80" s="57" t="s">
        <v>325</v>
      </c>
      <c r="D80" s="31" t="s">
        <v>326</v>
      </c>
      <c r="E80" s="31" t="s">
        <v>411</v>
      </c>
      <c r="F80" s="31" t="s">
        <v>327</v>
      </c>
      <c r="G80" s="96" t="s">
        <v>427</v>
      </c>
      <c r="H80" s="97" t="s">
        <v>392</v>
      </c>
      <c r="I80" s="4" t="s">
        <v>414</v>
      </c>
      <c r="J80" s="101" t="s">
        <v>373</v>
      </c>
      <c r="K80" s="25">
        <v>5</v>
      </c>
      <c r="L80" s="25">
        <f t="shared" si="3"/>
        <v>30</v>
      </c>
      <c r="M80" s="58">
        <v>0.17</v>
      </c>
      <c r="N80" s="26">
        <f t="shared" si="4"/>
        <v>0.85000000000000009</v>
      </c>
      <c r="O80" s="58">
        <v>0.14599999999999999</v>
      </c>
      <c r="P80" s="26">
        <f t="shared" si="5"/>
        <v>4.38</v>
      </c>
      <c r="Q80" s="62"/>
    </row>
    <row r="81" spans="1:17" ht="15.75" thickBot="1" x14ac:dyDescent="0.3">
      <c r="A81" s="1">
        <v>79</v>
      </c>
      <c r="B81" s="48"/>
      <c r="C81" s="19" t="s">
        <v>328</v>
      </c>
      <c r="D81" s="5" t="s">
        <v>329</v>
      </c>
      <c r="E81" s="5" t="s">
        <v>411</v>
      </c>
      <c r="F81" s="5" t="s">
        <v>330</v>
      </c>
      <c r="G81" s="7" t="s">
        <v>428</v>
      </c>
      <c r="H81" s="16" t="s">
        <v>392</v>
      </c>
      <c r="I81" s="6" t="s">
        <v>414</v>
      </c>
      <c r="J81" s="55" t="s">
        <v>373</v>
      </c>
      <c r="K81" s="9">
        <v>1</v>
      </c>
      <c r="L81" s="9">
        <f t="shared" si="3"/>
        <v>6</v>
      </c>
      <c r="M81" s="56">
        <v>1.07</v>
      </c>
      <c r="N81" s="24">
        <f t="shared" si="4"/>
        <v>1.07</v>
      </c>
      <c r="O81" s="56">
        <v>1.07</v>
      </c>
      <c r="P81" s="24">
        <f t="shared" si="5"/>
        <v>6.42</v>
      </c>
      <c r="Q81" s="13"/>
    </row>
    <row r="82" spans="1:17" ht="15.75" thickBot="1" x14ac:dyDescent="0.3">
      <c r="A82" s="1">
        <v>80</v>
      </c>
      <c r="B82" s="48"/>
      <c r="C82" s="19" t="s">
        <v>331</v>
      </c>
      <c r="D82" s="5" t="s">
        <v>14</v>
      </c>
      <c r="E82" s="5" t="s">
        <v>411</v>
      </c>
      <c r="F82" s="5" t="s">
        <v>332</v>
      </c>
      <c r="G82" s="7" t="s">
        <v>429</v>
      </c>
      <c r="H82" s="16" t="s">
        <v>392</v>
      </c>
      <c r="I82" s="6" t="s">
        <v>414</v>
      </c>
      <c r="J82" s="55" t="s">
        <v>373</v>
      </c>
      <c r="K82" s="9">
        <v>1</v>
      </c>
      <c r="L82" s="9">
        <f t="shared" si="3"/>
        <v>6</v>
      </c>
      <c r="M82" s="56">
        <v>2.2200000000000002</v>
      </c>
      <c r="N82" s="24">
        <f t="shared" si="4"/>
        <v>2.2200000000000002</v>
      </c>
      <c r="O82" s="56">
        <v>2.2200000000000002</v>
      </c>
      <c r="P82" s="24">
        <f t="shared" si="5"/>
        <v>13.32</v>
      </c>
      <c r="Q82" s="13"/>
    </row>
    <row r="83" spans="1:17" ht="15.75" thickBot="1" x14ac:dyDescent="0.3">
      <c r="A83" s="1">
        <v>81</v>
      </c>
      <c r="B83" s="48"/>
      <c r="C83" s="19" t="s">
        <v>333</v>
      </c>
      <c r="D83" s="5" t="s">
        <v>334</v>
      </c>
      <c r="E83" s="5" t="s">
        <v>411</v>
      </c>
      <c r="F83" s="5" t="s">
        <v>335</v>
      </c>
      <c r="G83" s="7" t="s">
        <v>430</v>
      </c>
      <c r="H83" s="16" t="s">
        <v>392</v>
      </c>
      <c r="I83" s="6" t="s">
        <v>414</v>
      </c>
      <c r="J83" s="55" t="s">
        <v>373</v>
      </c>
      <c r="K83" s="9">
        <v>1</v>
      </c>
      <c r="L83" s="9">
        <f t="shared" si="3"/>
        <v>6</v>
      </c>
      <c r="M83" s="56">
        <v>0.46</v>
      </c>
      <c r="N83" s="24">
        <f t="shared" si="4"/>
        <v>0.46</v>
      </c>
      <c r="O83" s="56">
        <v>0.46</v>
      </c>
      <c r="P83" s="24">
        <f t="shared" si="5"/>
        <v>2.7600000000000002</v>
      </c>
      <c r="Q83" s="13"/>
    </row>
    <row r="84" spans="1:17" ht="15.75" thickBot="1" x14ac:dyDescent="0.3">
      <c r="A84" s="1">
        <v>82</v>
      </c>
      <c r="B84" s="48"/>
      <c r="C84" s="19" t="s">
        <v>336</v>
      </c>
      <c r="D84" s="5" t="s">
        <v>337</v>
      </c>
      <c r="E84" s="5" t="s">
        <v>411</v>
      </c>
      <c r="F84" s="5" t="s">
        <v>338</v>
      </c>
      <c r="G84" s="7" t="s">
        <v>430</v>
      </c>
      <c r="H84" s="16" t="s">
        <v>392</v>
      </c>
      <c r="I84" s="6" t="s">
        <v>414</v>
      </c>
      <c r="J84" s="55" t="s">
        <v>373</v>
      </c>
      <c r="K84" s="9">
        <v>3</v>
      </c>
      <c r="L84" s="9">
        <f t="shared" si="3"/>
        <v>18</v>
      </c>
      <c r="M84" s="56">
        <v>1.19</v>
      </c>
      <c r="N84" s="24">
        <f t="shared" si="4"/>
        <v>3.57</v>
      </c>
      <c r="O84" s="56">
        <v>1.19</v>
      </c>
      <c r="P84" s="24">
        <f t="shared" si="5"/>
        <v>21.419999999999998</v>
      </c>
      <c r="Q84" s="13"/>
    </row>
    <row r="85" spans="1:17" ht="26.25" thickBot="1" x14ac:dyDescent="0.3">
      <c r="A85" s="1">
        <v>83</v>
      </c>
      <c r="B85" s="48"/>
      <c r="C85" s="19" t="s">
        <v>339</v>
      </c>
      <c r="D85" s="5" t="s">
        <v>340</v>
      </c>
      <c r="E85" s="5" t="s">
        <v>411</v>
      </c>
      <c r="F85" s="5" t="s">
        <v>341</v>
      </c>
      <c r="G85" s="7" t="s">
        <v>431</v>
      </c>
      <c r="H85" s="16" t="s">
        <v>392</v>
      </c>
      <c r="I85" s="6" t="s">
        <v>414</v>
      </c>
      <c r="J85" s="22"/>
      <c r="K85" s="9">
        <v>1</v>
      </c>
      <c r="L85" s="9">
        <f t="shared" si="3"/>
        <v>6</v>
      </c>
      <c r="M85" s="56">
        <v>0.32</v>
      </c>
      <c r="N85" s="24">
        <f t="shared" si="4"/>
        <v>0.32</v>
      </c>
      <c r="O85" s="56">
        <v>0.32</v>
      </c>
      <c r="P85" s="24">
        <f t="shared" si="5"/>
        <v>1.92</v>
      </c>
      <c r="Q85" s="13"/>
    </row>
    <row r="86" spans="1:17" ht="15.75" thickBot="1" x14ac:dyDescent="0.3">
      <c r="A86" s="1">
        <v>84</v>
      </c>
      <c r="B86" s="48"/>
      <c r="C86" s="19" t="s">
        <v>342</v>
      </c>
      <c r="D86" s="5" t="s">
        <v>343</v>
      </c>
      <c r="E86" s="5" t="s">
        <v>411</v>
      </c>
      <c r="F86" s="5" t="s">
        <v>344</v>
      </c>
      <c r="G86" s="7" t="s">
        <v>429</v>
      </c>
      <c r="H86" s="16" t="s">
        <v>392</v>
      </c>
      <c r="I86" s="6" t="s">
        <v>414</v>
      </c>
      <c r="J86" s="55" t="s">
        <v>373</v>
      </c>
      <c r="K86" s="9">
        <v>1</v>
      </c>
      <c r="L86" s="9">
        <f t="shared" si="3"/>
        <v>6</v>
      </c>
      <c r="M86" s="56">
        <v>0.76</v>
      </c>
      <c r="N86" s="24">
        <f t="shared" si="4"/>
        <v>0.76</v>
      </c>
      <c r="O86" s="56">
        <v>0.76</v>
      </c>
      <c r="P86" s="24">
        <f t="shared" si="5"/>
        <v>4.5600000000000005</v>
      </c>
      <c r="Q86" s="13"/>
    </row>
    <row r="87" spans="1:17" ht="15.75" thickBot="1" x14ac:dyDescent="0.3">
      <c r="A87" s="1">
        <v>85</v>
      </c>
      <c r="B87" s="48"/>
      <c r="C87" s="19" t="s">
        <v>309</v>
      </c>
      <c r="D87" s="5" t="s">
        <v>345</v>
      </c>
      <c r="E87" s="5" t="s">
        <v>346</v>
      </c>
      <c r="F87" s="5" t="s">
        <v>346</v>
      </c>
      <c r="G87" s="16" t="s">
        <v>392</v>
      </c>
      <c r="H87" s="16" t="s">
        <v>392</v>
      </c>
      <c r="I87" s="6" t="s">
        <v>414</v>
      </c>
      <c r="J87" s="22"/>
      <c r="K87" s="9">
        <v>2</v>
      </c>
      <c r="L87" s="9">
        <f t="shared" si="3"/>
        <v>12</v>
      </c>
      <c r="M87" s="56"/>
      <c r="N87" s="24">
        <f t="shared" si="4"/>
        <v>0</v>
      </c>
      <c r="O87" s="56"/>
      <c r="P87" s="24">
        <f t="shared" si="5"/>
        <v>0</v>
      </c>
      <c r="Q87" s="113" t="s">
        <v>442</v>
      </c>
    </row>
    <row r="88" spans="1:17" ht="15.75" thickBot="1" x14ac:dyDescent="0.3">
      <c r="A88" s="1">
        <v>86</v>
      </c>
      <c r="B88" s="48"/>
      <c r="C88" s="19" t="s">
        <v>347</v>
      </c>
      <c r="D88" s="5" t="s">
        <v>348</v>
      </c>
      <c r="E88" s="5" t="s">
        <v>411</v>
      </c>
      <c r="F88" s="5" t="s">
        <v>349</v>
      </c>
      <c r="G88" s="7" t="s">
        <v>432</v>
      </c>
      <c r="H88" s="16" t="s">
        <v>392</v>
      </c>
      <c r="I88" s="6" t="s">
        <v>414</v>
      </c>
      <c r="J88" s="55" t="s">
        <v>373</v>
      </c>
      <c r="K88" s="9">
        <v>1</v>
      </c>
      <c r="L88" s="9">
        <f t="shared" si="3"/>
        <v>6</v>
      </c>
      <c r="M88" s="56">
        <v>1.4</v>
      </c>
      <c r="N88" s="24">
        <f t="shared" si="4"/>
        <v>1.4</v>
      </c>
      <c r="O88" s="56">
        <v>1.4</v>
      </c>
      <c r="P88" s="24">
        <f t="shared" si="5"/>
        <v>8.3999999999999986</v>
      </c>
      <c r="Q88" s="13"/>
    </row>
    <row r="89" spans="1:17" ht="15.75" thickBot="1" x14ac:dyDescent="0.3">
      <c r="A89" s="1">
        <v>87</v>
      </c>
      <c r="B89" s="48"/>
      <c r="C89" s="19" t="s">
        <v>350</v>
      </c>
      <c r="D89" s="5" t="s">
        <v>351</v>
      </c>
      <c r="E89" s="5" t="s">
        <v>411</v>
      </c>
      <c r="F89" s="5" t="s">
        <v>352</v>
      </c>
      <c r="G89" s="7" t="s">
        <v>430</v>
      </c>
      <c r="H89" s="16" t="s">
        <v>392</v>
      </c>
      <c r="I89" s="6" t="s">
        <v>414</v>
      </c>
      <c r="J89" s="55" t="s">
        <v>373</v>
      </c>
      <c r="K89" s="9">
        <v>1</v>
      </c>
      <c r="L89" s="9">
        <f t="shared" si="3"/>
        <v>6</v>
      </c>
      <c r="M89" s="56">
        <v>3</v>
      </c>
      <c r="N89" s="24">
        <f t="shared" si="4"/>
        <v>3</v>
      </c>
      <c r="O89" s="56">
        <v>3</v>
      </c>
      <c r="P89" s="24">
        <f t="shared" si="5"/>
        <v>18</v>
      </c>
      <c r="Q89" s="13"/>
    </row>
    <row r="90" spans="1:17" ht="15.75" thickBot="1" x14ac:dyDescent="0.3">
      <c r="A90" s="1">
        <v>88</v>
      </c>
      <c r="B90" s="48"/>
      <c r="C90" s="19" t="s">
        <v>353</v>
      </c>
      <c r="D90" s="5" t="s">
        <v>354</v>
      </c>
      <c r="E90" s="5" t="s">
        <v>411</v>
      </c>
      <c r="F90" s="5" t="s">
        <v>355</v>
      </c>
      <c r="G90" s="7" t="s">
        <v>433</v>
      </c>
      <c r="H90" s="16" t="s">
        <v>392</v>
      </c>
      <c r="I90" s="6" t="s">
        <v>414</v>
      </c>
      <c r="J90" s="55" t="s">
        <v>373</v>
      </c>
      <c r="K90" s="9">
        <v>1</v>
      </c>
      <c r="L90" s="9">
        <f t="shared" si="3"/>
        <v>6</v>
      </c>
      <c r="M90" s="56">
        <v>0.88</v>
      </c>
      <c r="N90" s="24">
        <f t="shared" si="4"/>
        <v>0.88</v>
      </c>
      <c r="O90" s="56">
        <v>0.88</v>
      </c>
      <c r="P90" s="24">
        <f t="shared" si="5"/>
        <v>5.28</v>
      </c>
      <c r="Q90" s="13"/>
    </row>
    <row r="91" spans="1:17" ht="15.75" thickBot="1" x14ac:dyDescent="0.3">
      <c r="A91" s="1">
        <v>89</v>
      </c>
      <c r="B91" s="48"/>
      <c r="C91" s="19" t="s">
        <v>356</v>
      </c>
      <c r="D91" s="5" t="s">
        <v>357</v>
      </c>
      <c r="E91" s="5" t="s">
        <v>411</v>
      </c>
      <c r="F91" s="5" t="s">
        <v>358</v>
      </c>
      <c r="G91" s="7" t="s">
        <v>434</v>
      </c>
      <c r="H91" s="16" t="s">
        <v>392</v>
      </c>
      <c r="I91" s="6" t="s">
        <v>414</v>
      </c>
      <c r="J91" s="55" t="s">
        <v>373</v>
      </c>
      <c r="K91" s="9">
        <v>1</v>
      </c>
      <c r="L91" s="9">
        <f t="shared" si="3"/>
        <v>6</v>
      </c>
      <c r="M91" s="56">
        <v>1.69</v>
      </c>
      <c r="N91" s="24">
        <f t="shared" si="4"/>
        <v>1.69</v>
      </c>
      <c r="O91" s="56">
        <v>1.69</v>
      </c>
      <c r="P91" s="24">
        <f t="shared" si="5"/>
        <v>10.14</v>
      </c>
      <c r="Q91" s="13"/>
    </row>
    <row r="92" spans="1:17" ht="15.75" thickBot="1" x14ac:dyDescent="0.3">
      <c r="A92" s="1">
        <v>90</v>
      </c>
      <c r="B92" s="48"/>
      <c r="C92" s="20" t="s">
        <v>359</v>
      </c>
      <c r="D92" s="5" t="s">
        <v>360</v>
      </c>
      <c r="E92" s="5" t="s">
        <v>361</v>
      </c>
      <c r="F92" s="5" t="s">
        <v>361</v>
      </c>
      <c r="G92" s="7" t="s">
        <v>433</v>
      </c>
      <c r="H92" s="16" t="s">
        <v>392</v>
      </c>
      <c r="I92" s="6" t="s">
        <v>414</v>
      </c>
      <c r="J92" s="55" t="s">
        <v>373</v>
      </c>
      <c r="K92" s="9">
        <v>1</v>
      </c>
      <c r="L92" s="9">
        <f t="shared" si="3"/>
        <v>6</v>
      </c>
      <c r="M92" s="56">
        <v>0.45</v>
      </c>
      <c r="N92" s="24">
        <f t="shared" si="4"/>
        <v>0.45</v>
      </c>
      <c r="O92" s="56">
        <v>0.45</v>
      </c>
      <c r="P92" s="24">
        <f t="shared" si="5"/>
        <v>2.7</v>
      </c>
      <c r="Q92" s="13"/>
    </row>
    <row r="93" spans="1:17" ht="15.75" thickBot="1" x14ac:dyDescent="0.3">
      <c r="A93" s="1">
        <v>91</v>
      </c>
      <c r="B93" s="48"/>
      <c r="C93" s="19" t="s">
        <v>362</v>
      </c>
      <c r="D93" s="5" t="s">
        <v>363</v>
      </c>
      <c r="E93" s="5" t="s">
        <v>364</v>
      </c>
      <c r="F93" s="5" t="s">
        <v>364</v>
      </c>
      <c r="G93" s="7" t="s">
        <v>435</v>
      </c>
      <c r="H93" s="16" t="s">
        <v>392</v>
      </c>
      <c r="I93" s="6" t="s">
        <v>414</v>
      </c>
      <c r="J93" s="55" t="s">
        <v>373</v>
      </c>
      <c r="K93" s="9">
        <v>1</v>
      </c>
      <c r="L93" s="9">
        <f t="shared" si="3"/>
        <v>6</v>
      </c>
      <c r="M93" s="56">
        <v>0.82</v>
      </c>
      <c r="N93" s="24">
        <f t="shared" si="4"/>
        <v>0.82</v>
      </c>
      <c r="O93" s="56">
        <v>0.82</v>
      </c>
      <c r="P93" s="24">
        <f t="shared" si="5"/>
        <v>4.92</v>
      </c>
      <c r="Q93" s="13"/>
    </row>
    <row r="94" spans="1:17" ht="26.25" thickBot="1" x14ac:dyDescent="0.3">
      <c r="A94" s="1">
        <v>92</v>
      </c>
      <c r="B94" s="48"/>
      <c r="C94" s="19" t="s">
        <v>365</v>
      </c>
      <c r="D94" s="5" t="s">
        <v>366</v>
      </c>
      <c r="E94" s="5" t="s">
        <v>367</v>
      </c>
      <c r="F94" s="5" t="s">
        <v>367</v>
      </c>
      <c r="G94" s="16" t="s">
        <v>392</v>
      </c>
      <c r="H94" s="6" t="s">
        <v>414</v>
      </c>
      <c r="I94" s="6" t="s">
        <v>414</v>
      </c>
      <c r="J94" s="6" t="s">
        <v>414</v>
      </c>
      <c r="K94" s="41">
        <v>9</v>
      </c>
      <c r="L94" s="9">
        <f t="shared" si="3"/>
        <v>54</v>
      </c>
      <c r="M94" s="6" t="s">
        <v>414</v>
      </c>
      <c r="N94" s="24" t="e">
        <f t="shared" si="4"/>
        <v>#VALUE!</v>
      </c>
      <c r="O94" s="6" t="s">
        <v>414</v>
      </c>
      <c r="P94" s="24" t="e">
        <f t="shared" si="5"/>
        <v>#VALUE!</v>
      </c>
      <c r="Q94" s="113" t="s">
        <v>442</v>
      </c>
    </row>
    <row r="95" spans="1:17" ht="15.75" thickBot="1" x14ac:dyDescent="0.3">
      <c r="A95" s="117">
        <v>93</v>
      </c>
      <c r="B95" s="49"/>
      <c r="C95" s="59" t="s">
        <v>368</v>
      </c>
      <c r="D95" s="36" t="s">
        <v>369</v>
      </c>
      <c r="E95" s="36" t="s">
        <v>370</v>
      </c>
      <c r="F95" s="36" t="s">
        <v>370</v>
      </c>
      <c r="G95" s="68" t="s">
        <v>392</v>
      </c>
      <c r="H95" s="8" t="s">
        <v>414</v>
      </c>
      <c r="I95" s="8" t="s">
        <v>414</v>
      </c>
      <c r="J95" s="8" t="s">
        <v>414</v>
      </c>
      <c r="K95" s="102">
        <v>2</v>
      </c>
      <c r="L95" s="28">
        <f t="shared" si="3"/>
        <v>12</v>
      </c>
      <c r="M95" s="8" t="s">
        <v>414</v>
      </c>
      <c r="N95" s="29" t="e">
        <f t="shared" si="4"/>
        <v>#VALUE!</v>
      </c>
      <c r="O95" s="8" t="s">
        <v>414</v>
      </c>
      <c r="P95" s="29" t="e">
        <f t="shared" si="5"/>
        <v>#VALUE!</v>
      </c>
      <c r="Q95" s="118" t="s">
        <v>442</v>
      </c>
    </row>
    <row r="96" spans="1:17" x14ac:dyDescent="0.25">
      <c r="A96" s="114"/>
      <c r="C96" s="42"/>
      <c r="D96" s="43"/>
      <c r="E96" s="43"/>
      <c r="F96" s="43"/>
      <c r="G96" s="51"/>
      <c r="H96" s="42"/>
      <c r="I96" s="43"/>
      <c r="J96" s="43"/>
      <c r="K96" s="42"/>
      <c r="L96" s="42"/>
      <c r="M96" s="42"/>
      <c r="N96" s="42"/>
      <c r="O96" s="42"/>
      <c r="P96" s="42"/>
      <c r="Q96" s="43"/>
    </row>
  </sheetData>
  <mergeCells count="8">
    <mergeCell ref="B37:B63"/>
    <mergeCell ref="B64:B77"/>
    <mergeCell ref="B80:B95"/>
    <mergeCell ref="A1:Q1"/>
    <mergeCell ref="B3:B18"/>
    <mergeCell ref="B19:B25"/>
    <mergeCell ref="B26:B31"/>
    <mergeCell ref="B34:B36"/>
  </mergeCells>
  <conditionalFormatting sqref="K4:K41 K3:L3 L4:L95 O4:O41 N3:N95 P3:P95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2:K6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4:K7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79:K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4:K9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J7" r:id="rId5" xr:uid="{00000000-0004-0000-0000-000004000000}"/>
    <hyperlink ref="J8" r:id="rId6" xr:uid="{00000000-0004-0000-0000-000005000000}"/>
    <hyperlink ref="J9" r:id="rId7" xr:uid="{00000000-0004-0000-0000-000006000000}"/>
    <hyperlink ref="J10" r:id="rId8" xr:uid="{00000000-0004-0000-0000-000007000000}"/>
    <hyperlink ref="J11" r:id="rId9" xr:uid="{00000000-0004-0000-0000-000008000000}"/>
    <hyperlink ref="J12" r:id="rId10" xr:uid="{00000000-0004-0000-0000-000009000000}"/>
    <hyperlink ref="J13" r:id="rId11" xr:uid="{00000000-0004-0000-0000-00000A000000}"/>
    <hyperlink ref="J14" r:id="rId12" xr:uid="{00000000-0004-0000-0000-00000B000000}"/>
    <hyperlink ref="J16" r:id="rId13" xr:uid="{00000000-0004-0000-0000-00000C000000}"/>
    <hyperlink ref="J17" r:id="rId14" xr:uid="{00000000-0004-0000-0000-00000D000000}"/>
    <hyperlink ref="J18" r:id="rId15" xr:uid="{00000000-0004-0000-0000-00000E000000}"/>
    <hyperlink ref="J19" r:id="rId16" xr:uid="{00000000-0004-0000-0000-00000F000000}"/>
    <hyperlink ref="J20" r:id="rId17" xr:uid="{00000000-0004-0000-0000-000010000000}"/>
    <hyperlink ref="J22" r:id="rId18" xr:uid="{00000000-0004-0000-0000-000011000000}"/>
    <hyperlink ref="J23" r:id="rId19" xr:uid="{00000000-0004-0000-0000-000012000000}"/>
    <hyperlink ref="J24" r:id="rId20" xr:uid="{00000000-0004-0000-0000-000013000000}"/>
    <hyperlink ref="J25" r:id="rId21" xr:uid="{00000000-0004-0000-0000-000014000000}"/>
    <hyperlink ref="J26" r:id="rId22" xr:uid="{00000000-0004-0000-0000-000015000000}"/>
    <hyperlink ref="J27" r:id="rId23" xr:uid="{00000000-0004-0000-0000-000016000000}"/>
    <hyperlink ref="J28" r:id="rId24" xr:uid="{00000000-0004-0000-0000-000017000000}"/>
    <hyperlink ref="J29" r:id="rId25" xr:uid="{00000000-0004-0000-0000-000018000000}"/>
    <hyperlink ref="J30" r:id="rId26" xr:uid="{00000000-0004-0000-0000-000019000000}"/>
    <hyperlink ref="J31" r:id="rId27" xr:uid="{00000000-0004-0000-0000-00001A000000}"/>
    <hyperlink ref="J32" r:id="rId28" xr:uid="{00000000-0004-0000-0000-00001B000000}"/>
    <hyperlink ref="J33" r:id="rId29" xr:uid="{00000000-0004-0000-0000-00001C000000}"/>
    <hyperlink ref="J34" r:id="rId30" xr:uid="{00000000-0004-0000-0000-00001D000000}"/>
    <hyperlink ref="J36" r:id="rId31" xr:uid="{00000000-0004-0000-0000-00001E000000}"/>
    <hyperlink ref="J37" r:id="rId32" xr:uid="{00000000-0004-0000-0000-00001F000000}"/>
    <hyperlink ref="J38" r:id="rId33" xr:uid="{00000000-0004-0000-0000-000020000000}"/>
    <hyperlink ref="J39" r:id="rId34" xr:uid="{00000000-0004-0000-0000-000021000000}"/>
    <hyperlink ref="J40" r:id="rId35" xr:uid="{00000000-0004-0000-0000-000022000000}"/>
    <hyperlink ref="J41" r:id="rId36" xr:uid="{00000000-0004-0000-0000-000023000000}"/>
    <hyperlink ref="J42" r:id="rId37" xr:uid="{6E782459-27AF-4B3D-8F43-D103916BAA81}"/>
    <hyperlink ref="J43" r:id="rId38" xr:uid="{5F638B2F-7B10-4E5B-B07D-EB5C2378C440}"/>
    <hyperlink ref="J44" r:id="rId39" xr:uid="{F7925609-7F71-4470-B1CD-567457A2B2CA}"/>
    <hyperlink ref="J45" r:id="rId40" xr:uid="{04F9E67B-C5F5-457A-955A-20A637B80557}"/>
    <hyperlink ref="J46" r:id="rId41" xr:uid="{0456B18E-3347-4ED4-9E46-7A6ABC62D56F}"/>
    <hyperlink ref="J47" r:id="rId42" xr:uid="{08560D24-3D82-4CC4-812B-42BCC8E21311}"/>
    <hyperlink ref="J48" r:id="rId43" xr:uid="{E2DB1B4F-07C1-4092-9780-190D968CFAF2}"/>
    <hyperlink ref="J49" r:id="rId44" xr:uid="{77613646-743B-4B8F-8144-476F62E7CEE8}"/>
    <hyperlink ref="J50" r:id="rId45" xr:uid="{CB237D08-ED48-431A-8596-9D0593D1A27F}"/>
    <hyperlink ref="J51" r:id="rId46" xr:uid="{A5147D23-C4CB-4F57-A7D9-4682E8577F35}"/>
    <hyperlink ref="J52" r:id="rId47" xr:uid="{442FAC59-4D75-4D3C-B245-B48A4A6F14F9}"/>
    <hyperlink ref="J53" r:id="rId48" xr:uid="{5361EE07-DB0B-4841-A975-C39D9E1F5E49}"/>
    <hyperlink ref="J54" r:id="rId49" xr:uid="{2BD28231-4AD8-4E7F-8BC0-3F9F0FC68D32}"/>
    <hyperlink ref="J55" r:id="rId50" xr:uid="{FFF3EEB3-30AD-485B-98A8-03B08D77F2F2}"/>
    <hyperlink ref="J56" r:id="rId51" xr:uid="{6639B923-6F85-4054-93F5-0490FCE4F714}"/>
    <hyperlink ref="J57" r:id="rId52" xr:uid="{5CAC460B-8AA1-4940-A04D-60A5F42EC62F}"/>
    <hyperlink ref="J58" r:id="rId53" xr:uid="{A203F398-BDD0-4B54-A4AF-8490FDB4FD81}"/>
    <hyperlink ref="J59" r:id="rId54" xr:uid="{0AF25D61-9D6B-4DED-B147-AD6ECA00FF3A}"/>
    <hyperlink ref="J60" r:id="rId55" xr:uid="{200D4EE8-B947-4860-A64A-9DC87AA36B02}"/>
    <hyperlink ref="J61" r:id="rId56" xr:uid="{7366F184-692E-4B24-9BA1-226E62B27F78}"/>
    <hyperlink ref="J62" r:id="rId57" xr:uid="{CA7BFEA4-E7FA-4DF0-9481-263DC08D3946}"/>
    <hyperlink ref="J63" r:id="rId58" xr:uid="{84347F5B-5A28-4FCA-BC10-41899ABCDA1F}"/>
    <hyperlink ref="J65" r:id="rId59" xr:uid="{D4908A6D-744F-4EAE-B6F1-82A62D6B035A}"/>
    <hyperlink ref="J68" r:id="rId60" xr:uid="{D2BEF0EE-9632-4FF2-B74D-772B5D3495CD}"/>
    <hyperlink ref="J69" r:id="rId61" xr:uid="{9CB39A33-0EE5-498E-BD44-70B0AF4BD3ED}"/>
    <hyperlink ref="J71" r:id="rId62" xr:uid="{EA1D7893-E123-443B-B3C9-90B2C394335A}"/>
    <hyperlink ref="J74" r:id="rId63" xr:uid="{A19CE2C6-E39F-4CED-84B5-2A9B6CF9288C}"/>
    <hyperlink ref="J76" r:id="rId64" xr:uid="{E90EDEA8-443C-4463-956F-5AF7A466BB01}"/>
    <hyperlink ref="J77" r:id="rId65" xr:uid="{63EFB705-3099-45E2-BC78-EE98F2B0E778}"/>
    <hyperlink ref="J78" r:id="rId66" xr:uid="{FA0AE832-0C58-4395-B7BE-D41296166E95}"/>
    <hyperlink ref="J79" r:id="rId67" xr:uid="{AA7D736E-AD64-49FD-9B29-3B473E5A701E}"/>
    <hyperlink ref="J80" r:id="rId68" xr:uid="{E5C84BC0-7659-44B7-BD16-2C2165E0580A}"/>
    <hyperlink ref="J81" r:id="rId69" xr:uid="{F299B4B4-6CB5-4A5A-8618-DA2BBCCE7C33}"/>
    <hyperlink ref="J82" r:id="rId70" xr:uid="{61628C8E-4EB4-4ECC-9C3E-CD6426D2995E}"/>
    <hyperlink ref="J83" r:id="rId71" xr:uid="{641A29B8-8F37-4005-ACCC-1CA9A08BF0E7}"/>
    <hyperlink ref="J84" r:id="rId72" xr:uid="{B0CEE6AD-637C-405D-B1A6-6CB1BFA87473}"/>
    <hyperlink ref="J86" r:id="rId73" xr:uid="{5F789E11-9701-4FC9-B9C3-7C0A96FB245C}"/>
    <hyperlink ref="J88" r:id="rId74" xr:uid="{6845A95B-EED1-4DE0-989E-6167A1F16FD4}"/>
    <hyperlink ref="J89" r:id="rId75" xr:uid="{55169799-1ED7-4F59-82A3-0796682BA82E}"/>
    <hyperlink ref="J90" r:id="rId76" xr:uid="{8F08EA28-EE77-4A97-8D94-625ED9141192}"/>
    <hyperlink ref="J91" r:id="rId77" xr:uid="{2A072BB1-4FE2-4BAB-95FE-F865185C51EA}"/>
    <hyperlink ref="J92" r:id="rId78" xr:uid="{68720AA6-3EF3-49C6-8112-8FB547FCD5A1}"/>
    <hyperlink ref="J93" r:id="rId79" xr:uid="{7CB1CEE6-938B-4911-ABB6-37522CB1814A}"/>
  </hyperlinks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Waqar</cp:lastModifiedBy>
  <dcterms:created xsi:type="dcterms:W3CDTF">2021-07-08T08:22:22Z</dcterms:created>
  <dcterms:modified xsi:type="dcterms:W3CDTF">2021-08-21T22:38:08Z</dcterms:modified>
</cp:coreProperties>
</file>